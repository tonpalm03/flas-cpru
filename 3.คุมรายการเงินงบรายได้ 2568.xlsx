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งานจอย\4.งานปีงบ 2569\2.ตัดแผน\"/>
    </mc:Choice>
  </mc:AlternateContent>
  <bookViews>
    <workbookView xWindow="-120" yWindow="-120" windowWidth="29040" windowHeight="15840" firstSheet="17" activeTab="20"/>
  </bookViews>
  <sheets>
    <sheet name="หน้าหลัก" sheetId="148" r:id="rId1"/>
    <sheet name="1.โครงการพัฒนาศักยภาพ บริหาร" sheetId="545" r:id="rId2"/>
    <sheet name="กิจกรรมที่ 1.1" sheetId="546" r:id="rId3"/>
    <sheet name="กิจกรรมที่ 1.2" sheetId="547" r:id="rId4"/>
    <sheet name="2.โครงพัฒนาทักษะ กศ.ปช" sheetId="572" r:id="rId5"/>
    <sheet name="3.โครงการบริหารธุรกิจมหาบัณฑิต" sheetId="620" r:id="rId6"/>
    <sheet name="กิจกรรมที่ 3.1" sheetId="621" r:id="rId7"/>
    <sheet name="กิจกรรมที่ 3.2" sheetId="622" r:id="rId8"/>
    <sheet name="4.โครงการ รปศ ป.โท" sheetId="1" r:id="rId9"/>
    <sheet name="กิจกรรมที่. 4.1" sheetId="431" r:id="rId10"/>
    <sheet name="กิจกรรมที่.4.2" sheetId="599" r:id="rId11"/>
    <sheet name="5.โครงการ รัฐศาสตร์ ป.โท " sheetId="623" r:id="rId12"/>
    <sheet name="กิจกรรมที่ 5.1" sheetId="600" r:id="rId13"/>
    <sheet name="กิจกรรมที่ 5.2" sheetId="601" r:id="rId14"/>
    <sheet name="6.จัดการเรียนการสอนบัณฑิต" sheetId="565" r:id="rId15"/>
    <sheet name="กิจกรรมที่ 6.1." sheetId="566" r:id="rId16"/>
    <sheet name="กิจกรรมที่ 6.2." sheetId="567" r:id="rId17"/>
    <sheet name="กิจกรรมที่ 6.3." sheetId="568" r:id="rId18"/>
    <sheet name="กิจกรรมที่ 6.4." sheetId="569" r:id="rId19"/>
    <sheet name="กิจกรรมที่ 6.5." sheetId="570" r:id="rId20"/>
    <sheet name="7.โครงการนิเทศ" sheetId="552" r:id="rId21"/>
    <sheet name="กิจกรรมที่ 7.1" sheetId="553" r:id="rId22"/>
    <sheet name="กิจกรรมที่ 7.2" sheetId="606" r:id="rId23"/>
    <sheet name="8.โครงการรับประเมิน" sheetId="624" r:id="rId24"/>
    <sheet name="กิจกรรมที่ 8.1" sheetId="625" r:id="rId25"/>
    <sheet name="กิจกรรมที่ 8.2" sheetId="626" r:id="rId26"/>
    <sheet name="9.โครงการสู่ความเป็นเลิศ" sheetId="541" r:id="rId27"/>
  </sheets>
  <calcPr calcId="162913"/>
</workbook>
</file>

<file path=xl/calcChain.xml><?xml version="1.0" encoding="utf-8"?>
<calcChain xmlns="http://schemas.openxmlformats.org/spreadsheetml/2006/main">
  <c r="E65" i="553" l="1"/>
  <c r="E18" i="606"/>
  <c r="F17" i="606"/>
  <c r="E62" i="553"/>
  <c r="F61" i="553"/>
  <c r="F6" i="572" l="1"/>
  <c r="F7" i="572" s="1"/>
  <c r="F5" i="572"/>
  <c r="F62" i="553" l="1"/>
  <c r="F60" i="553"/>
  <c r="F59" i="553"/>
  <c r="E7" i="626" l="1"/>
  <c r="F6" i="626"/>
  <c r="E17" i="567"/>
  <c r="F16" i="567"/>
  <c r="F36" i="566"/>
  <c r="F37" i="566" s="1"/>
  <c r="E38" i="566" l="1"/>
  <c r="F40" i="569"/>
  <c r="E40" i="569"/>
  <c r="E31" i="569"/>
  <c r="F27" i="569"/>
  <c r="F28" i="569" s="1"/>
  <c r="F29" i="569" s="1"/>
  <c r="F30" i="569" s="1"/>
  <c r="E16" i="568"/>
  <c r="F13" i="568"/>
  <c r="F14" i="568" s="1"/>
  <c r="F15" i="568" s="1"/>
  <c r="F26" i="569"/>
  <c r="F25" i="569"/>
  <c r="E36" i="569" l="1"/>
  <c r="F29" i="566"/>
  <c r="F30" i="566" s="1"/>
  <c r="F31" i="566" s="1"/>
  <c r="F32" i="566" s="1"/>
  <c r="F33" i="566" s="1"/>
  <c r="F34" i="566" s="1"/>
  <c r="F35" i="566" s="1"/>
  <c r="F16" i="606" l="1"/>
  <c r="F13" i="606" l="1"/>
  <c r="F18" i="570" l="1"/>
  <c r="E19" i="570"/>
  <c r="F8" i="621" l="1"/>
  <c r="E8" i="621"/>
  <c r="F7" i="621"/>
  <c r="E15" i="625" l="1"/>
  <c r="F12" i="625" l="1"/>
  <c r="F13" i="625"/>
  <c r="D18" i="606" l="1"/>
  <c r="F9" i="625" l="1"/>
  <c r="F10" i="625" s="1"/>
  <c r="F11" i="625" s="1"/>
  <c r="F7" i="625" l="1"/>
  <c r="F8" i="625" s="1"/>
  <c r="F12" i="567" l="1"/>
  <c r="F13" i="567"/>
  <c r="F14" i="567" s="1"/>
  <c r="F15" i="567" s="1"/>
  <c r="F17" i="570" l="1"/>
  <c r="F6" i="625"/>
  <c r="F16" i="570" l="1"/>
  <c r="D8" i="621" l="1"/>
  <c r="F6" i="621"/>
  <c r="F5" i="621"/>
  <c r="F12" i="570" l="1"/>
  <c r="F13" i="570" s="1"/>
  <c r="F14" i="570" s="1"/>
  <c r="F15" i="570" s="1"/>
  <c r="E15" i="541" l="1"/>
  <c r="E6" i="547" l="1"/>
  <c r="D6" i="545" s="1"/>
  <c r="C13" i="148" l="1"/>
  <c r="C6" i="624"/>
  <c r="C5" i="624"/>
  <c r="D6" i="624"/>
  <c r="D7" i="626"/>
  <c r="F4" i="626"/>
  <c r="F5" i="626" s="1"/>
  <c r="D15" i="625"/>
  <c r="F4" i="625"/>
  <c r="F5" i="625" s="1"/>
  <c r="E4" i="624"/>
  <c r="C9" i="565"/>
  <c r="C8" i="148"/>
  <c r="E4" i="623"/>
  <c r="C6" i="1"/>
  <c r="C5" i="1"/>
  <c r="D6" i="620"/>
  <c r="C6" i="620"/>
  <c r="E7" i="622"/>
  <c r="D7" i="622"/>
  <c r="F4" i="622"/>
  <c r="F5" i="622" s="1"/>
  <c r="F6" i="622" s="1"/>
  <c r="D5" i="620"/>
  <c r="F4" i="621"/>
  <c r="E4" i="620"/>
  <c r="C6" i="148"/>
  <c r="C5" i="545"/>
  <c r="F7" i="626" l="1"/>
  <c r="F7" i="622"/>
  <c r="C7" i="624"/>
  <c r="C12" i="148" s="1"/>
  <c r="E6" i="624"/>
  <c r="D7" i="620"/>
  <c r="E6" i="620"/>
  <c r="D7" i="148" l="1"/>
  <c r="D5" i="565" l="1"/>
  <c r="D13" i="148" l="1"/>
  <c r="E13" i="148" s="1"/>
  <c r="F13" i="148" l="1"/>
  <c r="D6" i="601"/>
  <c r="C6" i="623" s="1"/>
  <c r="D6" i="547" l="1"/>
  <c r="C6" i="545" s="1"/>
  <c r="E4" i="565" l="1"/>
  <c r="D6" i="552" l="1"/>
  <c r="D11" i="552" s="1"/>
  <c r="C6" i="552"/>
  <c r="C11" i="552" s="1"/>
  <c r="F4" i="606"/>
  <c r="F5" i="606" s="1"/>
  <c r="F6" i="606" s="1"/>
  <c r="F7" i="606" s="1"/>
  <c r="F8" i="606" s="1"/>
  <c r="F9" i="606" s="1"/>
  <c r="F10" i="606" s="1"/>
  <c r="F11" i="606" s="1"/>
  <c r="F12" i="606" s="1"/>
  <c r="F14" i="606" s="1"/>
  <c r="F15" i="606" s="1"/>
  <c r="E11" i="552" l="1"/>
  <c r="E6" i="552"/>
  <c r="F18" i="606"/>
  <c r="E6" i="601"/>
  <c r="D6" i="623" s="1"/>
  <c r="E6" i="623" s="1"/>
  <c r="F4" i="601"/>
  <c r="F5" i="601" s="1"/>
  <c r="E6" i="600"/>
  <c r="D5" i="623" s="1"/>
  <c r="D6" i="600"/>
  <c r="C5" i="623" s="1"/>
  <c r="F4" i="600"/>
  <c r="F5" i="600" s="1"/>
  <c r="E6" i="599"/>
  <c r="D6" i="1" s="1"/>
  <c r="D6" i="599"/>
  <c r="F4" i="599"/>
  <c r="F5" i="599" s="1"/>
  <c r="D7" i="623" l="1"/>
  <c r="D9" i="148" s="1"/>
  <c r="C7" i="623"/>
  <c r="E5" i="623"/>
  <c r="F6" i="600"/>
  <c r="F6" i="599"/>
  <c r="F6" i="601"/>
  <c r="C9" i="148" l="1"/>
  <c r="F9" i="148" s="1"/>
  <c r="E7" i="623"/>
  <c r="D8" i="572"/>
  <c r="F8" i="572"/>
  <c r="F4" i="572"/>
  <c r="D9" i="565"/>
  <c r="D19" i="570"/>
  <c r="F4" i="570"/>
  <c r="F5" i="570" s="1"/>
  <c r="F6" i="570" s="1"/>
  <c r="F7" i="570" s="1"/>
  <c r="F8" i="570" s="1"/>
  <c r="F9" i="570" s="1"/>
  <c r="F10" i="570" s="1"/>
  <c r="F11" i="570" s="1"/>
  <c r="D8" i="565"/>
  <c r="D31" i="569"/>
  <c r="C8" i="565" s="1"/>
  <c r="F4" i="569"/>
  <c r="F5" i="569" s="1"/>
  <c r="F6" i="569" s="1"/>
  <c r="F7" i="569" s="1"/>
  <c r="F8" i="569" s="1"/>
  <c r="F9" i="569" s="1"/>
  <c r="F10" i="569" s="1"/>
  <c r="F11" i="569" s="1"/>
  <c r="F12" i="569" s="1"/>
  <c r="F13" i="569" s="1"/>
  <c r="F14" i="569" s="1"/>
  <c r="F15" i="569" s="1"/>
  <c r="F16" i="569" s="1"/>
  <c r="F17" i="569" s="1"/>
  <c r="F18" i="569" s="1"/>
  <c r="F19" i="569" s="1"/>
  <c r="F20" i="569" s="1"/>
  <c r="F21" i="569" s="1"/>
  <c r="F22" i="569" s="1"/>
  <c r="F23" i="569" s="1"/>
  <c r="F24" i="569" s="1"/>
  <c r="D7" i="565"/>
  <c r="D16" i="568"/>
  <c r="C7" i="565" s="1"/>
  <c r="F4" i="568"/>
  <c r="F5" i="568" s="1"/>
  <c r="F6" i="568" s="1"/>
  <c r="F7" i="568" s="1"/>
  <c r="F8" i="568" s="1"/>
  <c r="F9" i="568" s="1"/>
  <c r="F10" i="568" s="1"/>
  <c r="F11" i="568" s="1"/>
  <c r="F12" i="568" s="1"/>
  <c r="D6" i="565"/>
  <c r="D17" i="567"/>
  <c r="C6" i="565" s="1"/>
  <c r="F4" i="567"/>
  <c r="F5" i="567" s="1"/>
  <c r="F6" i="567" s="1"/>
  <c r="F7" i="567" s="1"/>
  <c r="F8" i="567" s="1"/>
  <c r="F9" i="567" s="1"/>
  <c r="F10" i="567" s="1"/>
  <c r="F11" i="567" s="1"/>
  <c r="D38" i="566"/>
  <c r="F4" i="566"/>
  <c r="F5" i="566" s="1"/>
  <c r="F6" i="566" s="1"/>
  <c r="F7" i="566" s="1"/>
  <c r="F8" i="566" s="1"/>
  <c r="F9" i="566" s="1"/>
  <c r="F10" i="566" s="1"/>
  <c r="F11" i="566" s="1"/>
  <c r="F12" i="566" s="1"/>
  <c r="F13" i="566" s="1"/>
  <c r="F14" i="566" s="1"/>
  <c r="F15" i="566" s="1"/>
  <c r="F16" i="566" s="1"/>
  <c r="F17" i="566" s="1"/>
  <c r="F18" i="566" s="1"/>
  <c r="F19" i="566" s="1"/>
  <c r="F20" i="566" s="1"/>
  <c r="F21" i="566" s="1"/>
  <c r="F22" i="566" s="1"/>
  <c r="F23" i="566" s="1"/>
  <c r="F24" i="566" s="1"/>
  <c r="F25" i="566" s="1"/>
  <c r="F26" i="566" s="1"/>
  <c r="F27" i="566" s="1"/>
  <c r="F28" i="566" s="1"/>
  <c r="F38" i="566" l="1"/>
  <c r="F41" i="566" s="1"/>
  <c r="C5" i="565"/>
  <c r="C10" i="565" s="1"/>
  <c r="C10" i="148" s="1"/>
  <c r="E9" i="565"/>
  <c r="F19" i="570"/>
  <c r="F31" i="569"/>
  <c r="F36" i="569" s="1"/>
  <c r="F17" i="567"/>
  <c r="D10" i="565"/>
  <c r="D10" i="148" s="1"/>
  <c r="F16" i="568"/>
  <c r="E8" i="572"/>
  <c r="D6" i="148" s="1"/>
  <c r="E7" i="565"/>
  <c r="E6" i="565"/>
  <c r="E8" i="565"/>
  <c r="E10" i="148" l="1"/>
  <c r="E5" i="565"/>
  <c r="E10" i="565"/>
  <c r="D5" i="552" l="1"/>
  <c r="D62" i="553"/>
  <c r="F4" i="553"/>
  <c r="F5" i="553" s="1"/>
  <c r="F6" i="553" s="1"/>
  <c r="F7" i="553" s="1"/>
  <c r="F8" i="553" s="1"/>
  <c r="F9" i="553" s="1"/>
  <c r="F10" i="553" s="1"/>
  <c r="F11" i="553" s="1"/>
  <c r="F12" i="553" s="1"/>
  <c r="F13" i="553" s="1"/>
  <c r="F14" i="553" s="1"/>
  <c r="F15" i="553" s="1"/>
  <c r="F16" i="553" s="1"/>
  <c r="F17" i="553" s="1"/>
  <c r="F18" i="553" s="1"/>
  <c r="F19" i="553" s="1"/>
  <c r="F20" i="553" s="1"/>
  <c r="F21" i="553" s="1"/>
  <c r="F22" i="553" s="1"/>
  <c r="F23" i="553" s="1"/>
  <c r="F24" i="553" s="1"/>
  <c r="F25" i="553" s="1"/>
  <c r="F26" i="553" s="1"/>
  <c r="F27" i="553" s="1"/>
  <c r="F28" i="553" s="1"/>
  <c r="F29" i="553" s="1"/>
  <c r="F30" i="553" s="1"/>
  <c r="F31" i="553" s="1"/>
  <c r="F32" i="553" s="1"/>
  <c r="F33" i="553" s="1"/>
  <c r="F34" i="553" s="1"/>
  <c r="F35" i="553" s="1"/>
  <c r="F36" i="553" s="1"/>
  <c r="F37" i="553" s="1"/>
  <c r="F38" i="553" s="1"/>
  <c r="F39" i="553" s="1"/>
  <c r="F40" i="553" s="1"/>
  <c r="F41" i="553" s="1"/>
  <c r="F42" i="553" s="1"/>
  <c r="F43" i="553" s="1"/>
  <c r="F44" i="553" s="1"/>
  <c r="F45" i="553" s="1"/>
  <c r="F46" i="553" s="1"/>
  <c r="F47" i="553" s="1"/>
  <c r="F48" i="553" s="1"/>
  <c r="F49" i="553" s="1"/>
  <c r="F50" i="553" s="1"/>
  <c r="F51" i="553" s="1"/>
  <c r="F52" i="553" s="1"/>
  <c r="F53" i="553" s="1"/>
  <c r="F54" i="553" s="1"/>
  <c r="F55" i="553" s="1"/>
  <c r="F56" i="553" s="1"/>
  <c r="F57" i="553" s="1"/>
  <c r="F58" i="553" s="1"/>
  <c r="D7" i="552" l="1"/>
  <c r="D11" i="148" s="1"/>
  <c r="D10" i="552"/>
  <c r="C5" i="552"/>
  <c r="C10" i="552" s="1"/>
  <c r="E4" i="552"/>
  <c r="E10" i="552" l="1"/>
  <c r="E12" i="552" s="1"/>
  <c r="E5" i="552"/>
  <c r="C7" i="552"/>
  <c r="F10" i="148" l="1"/>
  <c r="C11" i="148"/>
  <c r="E7" i="552"/>
  <c r="F4" i="547"/>
  <c r="E7" i="546"/>
  <c r="D5" i="545" s="1"/>
  <c r="D7" i="546"/>
  <c r="F4" i="546"/>
  <c r="F5" i="546" s="1"/>
  <c r="F6" i="546" s="1"/>
  <c r="E9" i="148"/>
  <c r="D15" i="541"/>
  <c r="F4" i="541"/>
  <c r="F5" i="541" s="1"/>
  <c r="F6" i="541" s="1"/>
  <c r="F7" i="541" s="1"/>
  <c r="F8" i="541" s="1"/>
  <c r="F9" i="541" s="1"/>
  <c r="F10" i="541" s="1"/>
  <c r="F11" i="541" s="1"/>
  <c r="E11" i="148" l="1"/>
  <c r="F11" i="148"/>
  <c r="F12" i="541"/>
  <c r="F13" i="541" s="1"/>
  <c r="F14" i="541" s="1"/>
  <c r="F7" i="546"/>
  <c r="D7" i="545"/>
  <c r="D5" i="148" s="1"/>
  <c r="F5" i="547"/>
  <c r="F2" i="547"/>
  <c r="F6" i="547"/>
  <c r="C7" i="545"/>
  <c r="C5" i="148" s="1"/>
  <c r="F15" i="541"/>
  <c r="E6" i="545"/>
  <c r="E4" i="545"/>
  <c r="E5" i="545" l="1"/>
  <c r="E7" i="545"/>
  <c r="E6" i="1" l="1"/>
  <c r="E7" i="431" l="1"/>
  <c r="D7" i="431"/>
  <c r="C7" i="1" s="1"/>
  <c r="F4" i="431"/>
  <c r="F5" i="431" s="1"/>
  <c r="D5" i="1" l="1"/>
  <c r="D7" i="1" s="1"/>
  <c r="D8" i="148" s="1"/>
  <c r="F6" i="148"/>
  <c r="E4" i="1"/>
  <c r="F7" i="431"/>
  <c r="E8" i="148" l="1"/>
  <c r="E5" i="1"/>
  <c r="E7" i="1"/>
  <c r="F8" i="148" l="1"/>
  <c r="F5" i="148" l="1"/>
  <c r="E5" i="148"/>
  <c r="E6" i="148" l="1"/>
  <c r="C5" i="620"/>
  <c r="C7" i="620" s="1"/>
  <c r="C7" i="148" l="1"/>
  <c r="E7" i="620"/>
  <c r="E5" i="620"/>
  <c r="E7" i="148" l="1"/>
  <c r="F7" i="148"/>
  <c r="C14" i="148"/>
  <c r="F15" i="625" l="1"/>
  <c r="D5" i="624"/>
  <c r="D7" i="624" s="1"/>
  <c r="D12" i="148" l="1"/>
  <c r="E7" i="624"/>
  <c r="E5" i="624"/>
  <c r="D14" i="148" l="1"/>
  <c r="F14" i="148" s="1"/>
  <c r="E12" i="148"/>
  <c r="E14" i="148" s="1"/>
  <c r="F12" i="148"/>
</calcChain>
</file>

<file path=xl/sharedStrings.xml><?xml version="1.0" encoding="utf-8"?>
<sst xmlns="http://schemas.openxmlformats.org/spreadsheetml/2006/main" count="990" uniqueCount="581">
  <si>
    <t>รหัสโครงการ</t>
  </si>
  <si>
    <t>ชื่อโครงการ</t>
  </si>
  <si>
    <t>งบจัดสรร</t>
  </si>
  <si>
    <t>เบิก-จ่าย</t>
  </si>
  <si>
    <t>คงเหลือ</t>
  </si>
  <si>
    <t>รวมทั้งสิ้น</t>
  </si>
  <si>
    <t>รายการ</t>
  </si>
  <si>
    <t xml:space="preserve">เบิก </t>
  </si>
  <si>
    <t>หน้าหลัก</t>
  </si>
  <si>
    <t>ที่</t>
  </si>
  <si>
    <t>ดำเนินการ</t>
  </si>
  <si>
    <t>เปอร์เซ็น</t>
  </si>
  <si>
    <t>หน่วยงาน</t>
  </si>
  <si>
    <t>ขออนุมัติ</t>
  </si>
  <si>
    <t>รับ/อนุมัติ</t>
  </si>
  <si>
    <t xml:space="preserve"> </t>
  </si>
  <si>
    <r>
      <rPr>
        <b/>
        <sz val="16"/>
        <color theme="1"/>
        <rFont val="TH SarabunPSK"/>
        <family val="2"/>
      </rPr>
      <t>*หมายเหตุ</t>
    </r>
    <r>
      <rPr>
        <sz val="16"/>
        <color theme="1"/>
        <rFont val="TH SarabunPSK"/>
        <family val="2"/>
      </rPr>
      <t xml:space="preserve">  </t>
    </r>
  </si>
  <si>
    <t>ชื่อหน่วยงาน คณะศิลปศาสตร์และวิทยาศาสตร์</t>
  </si>
  <si>
    <t>งบประมาณ</t>
  </si>
  <si>
    <t>ยอดเงินทั้งหมด</t>
  </si>
  <si>
    <t>ว/ด/ป/</t>
  </si>
  <si>
    <t>ลำดับ</t>
  </si>
  <si>
    <t>ระยะเวลาดำเนินโครงการ ในไตรมาสที่ 2 ( ม.ค. - มี.ค. 68)</t>
  </si>
  <si>
    <t>ระยะเวลาดำเนินโครงการ ไตรมาสที่ 1 - 4 (เดือน ต.ค. 67 - ก.ย. 68)</t>
  </si>
  <si>
    <t>ผู้รับผิดชอบโครงการ</t>
  </si>
  <si>
    <t>กิจกรรมที่ 3.1</t>
  </si>
  <si>
    <t>กิจกรรมที่ 3.2</t>
  </si>
  <si>
    <t>ระยะเวลาดำเนินโครงการ ไตรมาสที่ 2 - 4 (เดือน ม.ค. - ก.ย. 68)</t>
  </si>
  <si>
    <t>โครงการจัดการเรียนการสอน</t>
  </si>
  <si>
    <t>กิจกรรมที่ 6.1</t>
  </si>
  <si>
    <t>กิจกรรมที่ 6.2</t>
  </si>
  <si>
    <t>กิจกรรมที่ 6.3</t>
  </si>
  <si>
    <t>กิจกรรมที่ 6.4</t>
  </si>
  <si>
    <t>กิจกรรมที่ 6.5</t>
  </si>
  <si>
    <t>โครงการนิเทศ</t>
  </si>
  <si>
    <r>
      <rPr>
        <b/>
        <sz val="16"/>
        <color theme="1"/>
        <rFont val="TH Sarabun New"/>
        <family val="2"/>
      </rPr>
      <t>*หมายเหตุ</t>
    </r>
    <r>
      <rPr>
        <sz val="16"/>
        <color theme="1"/>
        <rFont val="TH Sarabun New"/>
        <family val="2"/>
      </rPr>
      <t xml:space="preserve">  </t>
    </r>
  </si>
  <si>
    <t>หมายเหตุ</t>
  </si>
  <si>
    <t>ยอดกันเงินหัวหน้า 16,311</t>
  </si>
  <si>
    <t>กิจกรรมที่ 1.1</t>
  </si>
  <si>
    <t>กิจกรรมที่ 1.2</t>
  </si>
  <si>
    <t>โครงการพัฒนาศักยภาพนักศึกษาหลักสูตรบริหารธุรกิจ ภาค กศ.ปช. ประจำปีการศึกษา 2569</t>
  </si>
  <si>
    <t>กิจกรรมที่ 1 : โครงการอบรมเชิงปฏิบัติการการเขียนแผนธุรกิจสำหรับผู้ประกอบการธุรกิจชุมชน</t>
  </si>
  <si>
    <t>กิจกรรมที่ 2 : โครงการพัฒนาผู้นำและจิตอาสา “นักจัดการเพื่อสังคม”</t>
  </si>
  <si>
    <t xml:space="preserve">กิจกรรมที่ 1 : โครงการอบรมเชิงปฏิบัติการการเขียนแผนธุรกิจสำหรับผู้ประกอบการธุรกิจชุมชน
</t>
  </si>
  <si>
    <t>โครงกาบริหารธุรกิจ</t>
  </si>
  <si>
    <t>1โครงการพฒนานศ.บริหารธุรกิจ</t>
  </si>
  <si>
    <t xml:space="preserve">โครงการพัฒนาทักษะการเรียนรู้ของผู้เรียนในศตวรรษที่ 21 โดยหลักนิติรัฐสำหรับชุมชน ของนักศึกษาภาคการศึกษาเพื่อปวงชน (กศ.ปช.)
</t>
  </si>
  <si>
    <t>2.โครงการพัฒนานักศึกษา กศ.ปช</t>
  </si>
  <si>
    <t xml:space="preserve">กิจกรรมที่ 1 : การเสวนาเชิงปฏิบัติการกลุ่มเพื่อพัฒนาทักษะการเรียนรู้ของผู้เรียนในศตวรรษที่ 21 ของนักศึกษาภาคการศึกษาเพื่อปวงชน (กศ.ปช.)สาขาวิชานิติศาสตร์ รัฐศาสตร์ รัฐประศาสนศาสตร์ และสหวิทยาการเพื่อการพัฒนาท้องถิ่น และถ่ายทอดองค์ความรู้สู่ชุมชน
</t>
  </si>
  <si>
    <t>ระยะเวลาดำเนินโครงการ ไตรมาสที่  3  (เดือน เม.ย. - มิ.ย. 69)</t>
  </si>
  <si>
    <t xml:space="preserve">                    โครงการพัฒนาศักยภาพและเสริมสร้างประสบการณ์การเรียนรู้เชิงนวัตกรรมหลักสูตรบริหารธุรกิจมหาบัณฑิต             สาขาการจัดการธุรกิจและนวัตกรรม
</t>
  </si>
  <si>
    <t>กิจกรรมที่ 1 : ต้อนรับนักศึกษาใหม่ และเตรียมความพร้อมสำหรับ นักศึกษาชั้นปีที่ 1</t>
  </si>
  <si>
    <t>ระยะเวลาดำเนินโครงการ ไตรมาสที่ 4 (เดือน ก.ค. - ก.ย. 69)</t>
  </si>
  <si>
    <t xml:space="preserve">กิจกรรมที่ 2 : ศึกษาดูงานด้านนวัตกรรมธุรกิจ </t>
  </si>
  <si>
    <t>ระยะเวลาดำเนินโครงการ ไตรมาสที่ 2 - 4 (เดือน ม.ค. - ก.ย. 69)</t>
  </si>
  <si>
    <t>โครงกาบริหารธุรกิจ ป.โท</t>
  </si>
  <si>
    <t>โครงการพัฒนาศักยภาพและเสริมสร้างประสบการณ์การเรียนรู้เชิงนวัตกรรมหลักสูตรบริหารธุรกิจมหาบัณฑิตสาขาการจัดการธุรกิจและนวัตกรรม</t>
  </si>
  <si>
    <t>3.โครงการพัฒนาศักยภาพบริหาร ป.โท</t>
  </si>
  <si>
    <t>กิจกรรมที่4.1</t>
  </si>
  <si>
    <t>กิจกรรมที่4.2</t>
  </si>
  <si>
    <t>โครงการส่งเสริมและพัฒนานักศึกษาสาขาวิชารัฐประศาสนศาสตรมหาบัณฑิต</t>
  </si>
  <si>
    <t>ระยะเวลาดำเนินโครงการ ไตรมาสที่ 1 - 2 (เดือน ต.ค. 68 - มี.ค. 69)</t>
  </si>
  <si>
    <t>กิจกรรมที่ 1 : การพัฒนาทักษะการเขียนวิทยานิพนธ์และค้นคว้าอิสระ สาขาวิชารัฐประศาสนศาสตรมหาบัณฑิต</t>
  </si>
  <si>
    <t>ระยะเวลาดำเนินโครงการ ในไตรมาสที่ 1 ( ต.ค. - ธ.ค. 69)</t>
  </si>
  <si>
    <t>กิจกรรมที่ 2 : การประยุกต์ใช้ AI ในการเขียนวิทยานิพนธ์และค้นคว้าอิสระ สาขาวิชารัฐประศาสนศาสตรมหาบัณฑิต</t>
  </si>
  <si>
    <t>ระยะเวลาดำเนินโครงการ ในไตรมาสที่ 2 ( ม.ค. - มี.ค. 69)</t>
  </si>
  <si>
    <t>รปศ. ปโท</t>
  </si>
  <si>
    <t xml:space="preserve">โครงการพัฒนานักศึกษาบัณฑิตศึกษา เพื่อเสริมสร้างทักษะแห่งศตวรรษที่ 21 กลุ่มสาขาวิชาทางรัฐศาสตร์
</t>
  </si>
  <si>
    <t>กิจกรรมที่5.1</t>
  </si>
  <si>
    <t>กิจกรรมที่5.2</t>
  </si>
  <si>
    <t>ระยะเวลาดำเนินโครงการ ไตรมาสที่  2 (เดือน ม.ค. - มี.ค. 69)</t>
  </si>
  <si>
    <t>กิจกรรมที่ 1 : การพัฒนาวิทยานิพนธ์ของนักศึกษา สาขาวิชารัฐศาสตรมหาบัณฑิต</t>
  </si>
  <si>
    <t>กิจกรรมที่2 : พัฒนาทักษะการเขียนผลงานวิจัยเพื่อเผยแพร่ สาขาวิชารัฐศาสตรดุษฎีบัณฑิต</t>
  </si>
  <si>
    <t>รัฐศาสตร์ ป.โท</t>
  </si>
  <si>
    <t>โครงการพัฒนานักศึกษาบัณฑิตศึกษา เพื่อเสริมสร้างทักษะแห่งศตวรรษที่ 21 กลุ่มสาขาวิชาทางรัฐศาสตร์</t>
  </si>
  <si>
    <t>4.โครงการ รปศ. ป โท</t>
  </si>
  <si>
    <t>5.โครงการรัฐศาสตร์ ป.โท</t>
  </si>
  <si>
    <t xml:space="preserve">โครงการจัดการเรียนการสอนระดับปริญญาตรีและระดับบัณฑิตศึกษา คณะศิลปศาสตร์และวิทยาศาสตร์  </t>
  </si>
  <si>
    <t>กิจกรรมที่ 1 : จัดการเรียนการสอน หลักสูตรบริหารธุรกิจมหาบัณฑิต และหลักสูตรบริหารธุรกิจดุษฎีบัณฑิต สาขาวิชาการจัดการธุรกิจและนวัตกรรม</t>
  </si>
  <si>
    <t>ระยะเวลาดำเนินโครงการ ไตรมาสที่ 1 - 4 (เดือน ต.ค. 68 - ก.ย. 69)</t>
  </si>
  <si>
    <t xml:space="preserve">                         กิจกรรมที่ 1 : จัดการเรียนการสอน หลักสูตรบริหารธุรกิจมหาบัณฑิต และหลักสูตรบริหารธุรกิจดุษฎีบัณฑิต              สาขาวิชาการจัดการธุรกิจและนวัตกรรม</t>
  </si>
  <si>
    <t xml:space="preserve">กิจกรรมที่ 2 : จัดการเรียนการสอน หลักสูตรรัฐประศาสนศาสตร์มหาบัณฑิต
สาขาวิชารัฐประศาสนศาสตร์
</t>
  </si>
  <si>
    <t xml:space="preserve">กิจกรรมที่ 3 : จัดการเรียนการสอน หลักสูตรรัฐศาสตร์มหาบัณฑิต </t>
  </si>
  <si>
    <t>กิจกรรมที่ 4 : จัดการเรียนการสอน หลักสูตรรัฐศาสตรดุษฎีบัณฑิต</t>
  </si>
  <si>
    <t>กิจกรรมที่ 5 : จัดการเรียนการสอน ระดับปริญญาตรี</t>
  </si>
  <si>
    <t>6.โครงการจัดการเรียนการสอน</t>
  </si>
  <si>
    <t>ระยะเวลาดำเนินโครงการ ในไตรมาสที่ 1 - 4 ( ต.ค. 68 - ก.ย. 69)</t>
  </si>
  <si>
    <t>กิจกรรมที่ 7.1</t>
  </si>
  <si>
    <t>กิจกรรมที่ 7.2</t>
  </si>
  <si>
    <t xml:space="preserve">กิจกรรมที่ 1 : นิเทศนักศึกษาฝึกประสบการณ์วิชาชีพ หรือสหกิจศึกษา </t>
  </si>
  <si>
    <t>ระยะเวลาดำเนินโครงการ ในไตรมาสที่ 1 - 4 ( ต.ค.68 - ก.ย. 69)</t>
  </si>
  <si>
    <t xml:space="preserve">กิจกรรมที่ 2 : นิเทศนักศึกษาฝึกประสบการณ์วิชาชีพ ฝึกงาน หรือสหกิจศึกษา หลักสูตรวิศวกรรมศาสตรบัณฑิต </t>
  </si>
  <si>
    <t>โครงการนิเทศนักศึกษาฝึกประสบการณ์วิชาชีพ หรือสหกิจศึกษา คณะศิลปศาสตร์และวิทยาศาสตร์ ประจำปีงบประมาณ 2569</t>
  </si>
  <si>
    <t>โครงการรับการตรวจประเมินคุณภาพการศึกษาภายใน คณะศิลปศาสตร์และวิทยาศาสตร์ ประจำปีการศึกษา 2568</t>
  </si>
  <si>
    <t>ระยะเวลาดำเนินโครงการ ในไตรมาสที่ 3 - 4 ( เม.ย. - ก.ย. 69)</t>
  </si>
  <si>
    <t>กิจกรรมที่ 8.1</t>
  </si>
  <si>
    <t>กิจกรรมที่ 8.2</t>
  </si>
  <si>
    <t>กิจกรรมที่ 1 : ตรวจประเมินคุณภาพการศึกษาภายใน ระดับหลักสูตร</t>
  </si>
  <si>
    <t>กิจกรรมที่ 2 ตรวจประเมินคุณภาพการศึกษาภายใน ระดับคณะ</t>
  </si>
  <si>
    <t>ระยะเวลาดำเนินโครงการ ในไตรมาสที่ 4 ( ก.ค. - ก.ย. 69)</t>
  </si>
  <si>
    <t>โครงการประเมิน</t>
  </si>
  <si>
    <t>กิจกรรมที่ 2 : ตรวจประเมินคุณภาพการศึกษาภายใน ระดับคณะ</t>
  </si>
  <si>
    <t>กิจกรรมที่ 2 : การประชุมคณะกรรมการประจำหน่วยงาน</t>
  </si>
  <si>
    <t>ระยะเวลาดำเนินโครงการ ไตรมาสที่ 1 - 4  ( ต.ค.68 - ก.ย. 69)</t>
  </si>
  <si>
    <t>โครงการบริหารจัดการคณะสู่ความเป็นเลิศ คณะศิลปศาสตร์และวิทยาศาสตร์</t>
  </si>
  <si>
    <t>8.โครงการรับการตรวจประเมิน</t>
  </si>
  <si>
    <t>9.โครงการบริหารจัดการสู๋ความเป็นเลิศ</t>
  </si>
  <si>
    <t>21 พ.ย. 68</t>
  </si>
  <si>
    <t>001/68</t>
  </si>
  <si>
    <t>ค่าใช้จ่ายในการประชุมคณะกรรมการประจำคณะ ครั้งที่ 10/2568 ในวันที่ 14 พฤศจิกายน 2568 ณ ห้องประชุม 2 ชั้น 1 อาคารปฏิบัติการเทคโนโลยีอุตสาหกรรม โครงการบริหารจัดการคณะสู่ความเป็นเลิศฯ กิจกรรมที่ 2  (ค่าเบี้ยประชุม) นางมาลินี  วาสสามัคคี</t>
  </si>
  <si>
    <t>2 ธ.ค. 68</t>
  </si>
  <si>
    <t>008/69</t>
  </si>
  <si>
    <t>ค่าใช้จ่ายในการประชุมคณะกรรมการประจำคณะ ครั้งที่ 9/2568 ในวันที่ 22 ตุลาคม  2568 ผ่านสื่อออนไลน์ โครงการบริหารจัดการคณะสู่ความเป็นเลิศฯ กิจกรรมที่ 2  (ค่าเบี้ยประชุม) นางมาลินี  วาสสามัคคี</t>
  </si>
  <si>
    <t>5 ม.ค.69</t>
  </si>
  <si>
    <t>022/69</t>
  </si>
  <si>
    <t>ค่าใช้จ่ายในการประชุมคณะกรรมการประจำคณะ ครั้งที่ 11/2568 ในวันที่ 24 ธันวาคม 2568  โครงการบริหารจัดการคณะสู่ความเป็นเลิศฯ กิจกรรมที่ 2  (ค่าอาหารว่าง) นางมาลินี  วาสสามัคคี</t>
  </si>
  <si>
    <t>15 ม.ค. 69</t>
  </si>
  <si>
    <t>033/69</t>
  </si>
  <si>
    <t>034/69</t>
  </si>
  <si>
    <t>035/69</t>
  </si>
  <si>
    <t>ค่าตอบแทนการสอนระดับปริญญาตรี ภาคเรียนที่ 1/2568 ภาค กศ.ปช. วิชา กฎหมายปกครอง รหัส 3012115 โครงการจัดการเรียนการสอนระดับปริญญาตรีและระดับบัณฑิตศึกษาฯ กิจกรรมที่ 5 ผศ.ดร.ฉัตรณรงค์ศักดิ์  สุธรรมดี</t>
  </si>
  <si>
    <t>ค่าตอบแทนการสอนระดับปริญญาตรี ภาคเรียนที่ 1/2568 ภาค กศ.ปช. วิชา ความรู้เบื้องต้นเกี่ยวกับรัฐศาสตร์ รหัส 3012102 โครงการจัดการเรียนการสอนระดับปริญญาตรีและระดับบัณฑิตศึกษาฯ กิจกรรมที่ 5 
อ.ดร.ดาศรินทร์พัชร์  สุธรรมดี</t>
  </si>
  <si>
    <t>ค่าตอบแทนการสอนระดับปริญญาตรี ภาคเรียนที่ 1/2568 ภาค กศ.ปช. วิชา ความรู้เบื้องต้นเกี่ยวกับรัฐประศาสนศาสตร์ รหัส 3012101 โครงการจัดการเรียนการสอนระดับปริญญาตรีและระดับบัณฑิตศึกษาฯ กิจกรรมที่ 5 
อาจารย์ อัญชิรญา  จันทรปิฎก</t>
  </si>
  <si>
    <t>20 ม.ค.69</t>
  </si>
  <si>
    <t>039/69</t>
  </si>
  <si>
    <t>ค่าใช้จ่ายในการประชุมคณะกรรมการประจำคณะ ครั้งที่ 1/2569 ในวันที่  13 มกราคม 2569 โครงการบริหารจัดการคณะสู่ความเป็นเลิศฯ กิจกรรมที่ 2  (ค่าเบี้ยประชุมคณะกรรมการ) นางมาลินี  วาสสามัคคี</t>
  </si>
  <si>
    <t>7.โครงการนิเทศ</t>
  </si>
  <si>
    <t>21 ม.ค. 69</t>
  </si>
  <si>
    <t xml:space="preserve">ค่านิเทศ อาจารย์สุภร  วรรณสิงห์  วิชาเอกการจัดการธุรกิจการค้าสมัยใหม่ รหัสวิชา 4004504 สหกิจศึกษาด้านการจัดการธุรกิจการค้าสมัยใหม่ จำนวน 4 คน 2 ครั้ง โครงการนิเทศฝึกประสบการวืชาชีพ ฯกิจกรรมที่ 1 </t>
  </si>
  <si>
    <t>040/69</t>
  </si>
  <si>
    <t>10 ก.พ.69</t>
  </si>
  <si>
    <t>047/69</t>
  </si>
  <si>
    <t xml:space="preserve">ค่านิเทศ อาจารย์ ดร.วาสนา  เจริญวัย  วิชาเอกการจัดการธุรกิจการค้าสมัยใหม่ รหัสวิชา 4004504 สหกิจศึกษาด้านการจัดการธุรกิจการค้าสมัยใหม่ จำนวน 4 คน 2 ครั้ง โครงการนิเทศฝึกประสบการวืชาชีพ ฯกิจกรรมที่ 1 </t>
  </si>
  <si>
    <t xml:space="preserve">ค่านิเทศ ผศ.ดร.เกศสุดา  โภคานิตย์  สาขารัฐศาสตร์ รายวิชาฝึกประสบการณ์วิชาชีพทางรัฐศาสตร์ รหัส 3022403 จำนวน 4 คน 2 ครั้ง โครงการนิเทศฝึกประสบการวืชาชีพ ฯกิจกรรมที่ 1 </t>
  </si>
  <si>
    <t>13 ก.พ. 69</t>
  </si>
  <si>
    <t>050/69</t>
  </si>
  <si>
    <t>ค่าใช้จ่ายโครงการส่งเสริมและพัฒนานักศึกษาสาขาวิชารัฐประศาสนศาสตรมหาบัณฑิต ระหว่างวันที่ 14 - 15 กุมภาพันธ์ 2569  กิจกรรมที่ 1 วันที่ 14  กุมภาพันธ์ 2569 ณ ห้องเรียนต้นแบบในศตวรรษที่ 21 อาคารปฏิบัติการเทคโนโลยีอุตสาหกรรม (ค่าตอบแทนวิทยากร/อาหารว่าง/อาหารกลางวัน)  ผศ.ดร.สมปอง  สุวรรณภูมา</t>
  </si>
  <si>
    <t>19 ก.พ. 69</t>
  </si>
  <si>
    <t>053/69</t>
  </si>
  <si>
    <t>ค่าใช้จ่ายโครงการส่งเสริมและพัฒนานักศึกษาสาขาวิชารัฐประศาสนศาสตรมหาบัณฑิต ระหว่างวันที่ 14 - 15 กุมภาพันธ์ 2569  กิจกรรมที่ 2 วันที่ 15  กุมภาพันธ์ 2569 ณ ห้องเรียนต้นแบบในศตวรรษที่ 21 อาคารปฏิบัติการเทคโนโลยีอุตสาหกรรม (ค่าตอบแทนวิทยากร/อาหารว่าง/อาหารกลางวัน)  ผศ.ดร.สมปอง  สุวรรณภูมา</t>
  </si>
  <si>
    <t>25 ก.พ. 69</t>
  </si>
  <si>
    <t>054/69</t>
  </si>
  <si>
    <t>055/69</t>
  </si>
  <si>
    <t xml:space="preserve">ค่านิเทศ อาจารย์ ดร.ธนิกานต์  ศรีจันทร์  สาขาวิชารัฐศาสตร์ รหัสวิชา 3022403รายวิชาฝึกประสบการณ์วิชาชีพทางรัฐศาสตร์ จำนวน 5 คน 2 ครั้ง โครงการนิเทศฝึกประสบการวืชาชีพ ฯกิจกรรมที่ 1 </t>
  </si>
  <si>
    <t xml:space="preserve">ค่านิเทศ ผศ.ดร.อนุสรณ์  พัฒนศานติ์  สาขาวิชารัฐศาสตร์ รหัสวิชา 3022403รายวิชาฝึกประสบการณ์วิชาชีพทางรัฐศาสตร์ จำนวน 4 คน 2 ครั้ง โครงการนิเทศฝึกประสบการวืชาชีพ ฯกิจกรรมที่ 1 </t>
  </si>
  <si>
    <t>056/69</t>
  </si>
  <si>
    <t xml:space="preserve">ค่านิเทศ ดร.ณัฐปราย์  ชัยสินคุณานนต์  สาขาวิชารัฐประศาสนศาสตร์ รหัสวิชา 3012402 รายวิชาฝึกประสบการณ์วิชาชีพสหกิจศึกษา จำนวน 4 คน 2 ครั้ง โครงการนิเทศฝึกประสบการวืชาชีพ ฯกิจกรรมที่ 1 </t>
  </si>
  <si>
    <t xml:space="preserve">ค่านิเทศ อาจารย์ฤทธิชัย  ผานาค  สาขาวิชาวิทยาการคอมพิวเตอร์ รหัสวิชา 1138041 รายวิชาการฝึกงานคอมพิวเตอร์ จำนวน 4 คน 2 ครั้ง โครงการนิเทศฝึกประสบการวืชาชีพ ฯกิจกรรมที่ 1 </t>
  </si>
  <si>
    <t>059/69</t>
  </si>
  <si>
    <t>060/69</t>
  </si>
  <si>
    <t>ค่าใช้จ่ายในการประชุมคณะกรรมการประจำคณะ ครั้งที่ 2/2569 ในวันที่  18กุมภาพันธ์ 2569 โครงการบริหารจัดการคณะสู่ความเป็นเลิศฯ กิจกรรมที่ 2  
(ค่าเบี้ยประชุมคณะกรรมการ) นางสาวนุชนาถ  สุวรรณามังกร</t>
  </si>
  <si>
    <t xml:space="preserve"> 13/1/69</t>
  </si>
  <si>
    <t xml:space="preserve"> ร-113/69</t>
  </si>
  <si>
    <t>ค่าตอบแทนอาจารย์ที่ปรึกษาวิทยานิพนธ์ระดับปริญญาเอก กลักสูตรรัฐศาสดุษฏีบัณฑิต สาขาวิชารัฐศาสตร์ ณัฐดนัย</t>
  </si>
  <si>
    <t xml:space="preserve"> ร-114/69</t>
  </si>
  <si>
    <t>ค่าตอบแทนอาจารย์ที่ปรึกษาวิทยานิพนธ์ระดับปริญญาเอก กลักสูตรรัฐศาสดุษฏีบัณฑิต สาขาวิชารัฐศาสตร์ ธรรมรัตน์</t>
  </si>
  <si>
    <t xml:space="preserve"> ร-115/69</t>
  </si>
  <si>
    <t>ค่าตอบแทนอาจารย์ที่ปรึกษาวิทยานิพนธ์ระดับปริญญาเอก กลักสูตรรัฐศาสดุษฏีบัณฑิต สาขาวิชารัฐศาสตร์ ดร.ชูเกียรติ</t>
  </si>
  <si>
    <t xml:space="preserve"> ร-116/69</t>
  </si>
  <si>
    <t>ค่าตอบแทนการสอน  ระดับปริญญาเอก หลักสูตรรัฐศาสตรดุษฏีบัณฑิต สาขาวิชารัฐศาสตร์ อ.ดร.สามารถ สินทร</t>
  </si>
  <si>
    <t xml:space="preserve"> ร-117/69</t>
  </si>
  <si>
    <t>ค่าตอบแทนการสอน  ระดับปริญญาเอก หลักสูตรรัฐศาสตรดุษฏีบัณฑิต สาขาวิชารัฐศาสตร์ อ.ดร.เกษกนก</t>
  </si>
  <si>
    <t xml:space="preserve"> ร-118/69</t>
  </si>
  <si>
    <t>27 ก.พ.69</t>
  </si>
  <si>
    <t>064/69</t>
  </si>
  <si>
    <t>065/69</t>
  </si>
  <si>
    <t xml:space="preserve">ค่านิเทศ ผศ.หทัยกาญจน์  ทองศรีสุข  สาขาวิชาบริหารธุรกิจ วิชาเอกการจัดการ (กศ.ปช.) รหัสวิชา 4004503 รายวิชาสหกิจศึกษา 1 และสหกิจศึกษา 2 จำนวน 4 คน 2 ครั้ง โครงการนิเทศฝึกประสบการวืชาชีพ ฯกิจกรรมที่ 1 </t>
  </si>
  <si>
    <t xml:space="preserve">ค่านิเทศ ผศ.หทัยกาญจน์  ทองศรีสุข  สาขาวิชาบริหารธุรกิจ วิชาเอกการจัดการ รหัสวิชา 4004503 รายวิชาสหกิจศึกษา 2 จำนวน 8 คน 2 ครั้ง โครงการนิเทศฝึกประสบการวืชาชีพ ฯกิจกรรมที่ 1 </t>
  </si>
  <si>
    <t>ค่าใช้จ่ายเดินทางไปราชการโครงการพัฒนาศักยภาพและเสริมสร้างประสบการณ์การเรียนรู้เชิงนวัตกรรมหลักสูตรบริหารธุรกิจมหาบัณฑิตสาขาการจัดการธุรกิจและนวัตกรรม กิจกรรมที่ 2 วันที่ 18 - 20 กุมภาพันธ์ 2569 ณ จังหวัดอยุธยา  ระยอง  กรุงเทพมหานคร (ค่าเบี้ยเลี้ยง/ค่าที่พัก/ค่าน้ำมันเชื้อเพลิง) ผศ.ดร.อัญชลี  ชัยศรี</t>
  </si>
  <si>
    <t>27 ก.พ. 69</t>
  </si>
  <si>
    <t>066/69</t>
  </si>
  <si>
    <t>ค่าตอบแทนการสอบวิทยานิพนธ์ระดับปริญญาโท หลักสูตรรัฐประศาสนศาสตรมหาบัณฑิต สาขาวิชารัฐประศาสนศาสตร์ จำนวน 3 ราย  โครงการจัดการเรียนการสอนระดับปริญญาตรีและระดับบัณฑิตศึกษา คณะศิลปสาสตร์และวิทยาศาสตร์ กิจกรรมที่ 2  (ผศ.ดร.สมปอง  สุวรรณภูมา)</t>
  </si>
  <si>
    <t>067/69</t>
  </si>
  <si>
    <t>068/69</t>
  </si>
  <si>
    <t xml:space="preserve">ค่านิเทศ ดร.ดาศรินทร์พัชร์  สุธรรมดี  สาขาวิชารัฐศาสตร์ รหัสวิชา 3022403 รายวิชาฝึกประสบการณ์วิชาชีพทางรัฐศาสตร์ จำนวน 5 คน 2 ครั้ง โครงการนิเทศฝึกประสบการวืชาชีพ ฯกิจกรรมที่ 1 </t>
  </si>
  <si>
    <t>069/69</t>
  </si>
  <si>
    <t xml:space="preserve">ค่านิเทศ ผศ.ดร.เทอดศักดิ์  ไป่จันทึก  สาขาวิชารัฐศาสตร์ รหัสวิชา 3022403 รายวิชาฝึกประสบการณ์วิชาชีพทางรัฐศาสตร์ จำนวน 4 คน 2 ครั้ง โครงการนิเทศฝึกประสบการวืชาชีพ ฯกิจกรรมที่ 1 </t>
  </si>
  <si>
    <t>072/69</t>
  </si>
  <si>
    <t>2 มี.ค.69</t>
  </si>
  <si>
    <t xml:space="preserve">ค่านิเทศ ผศ.ดร.ฉัตรณรงค์ศักดิ์  สุธรรมดี สาขาวิชารัฐประศาสนศาสตร์ รหัสวิชา 3012404 รายวิชาฝึกประสบการณ์วิชาชีพสหกิจศึกษา จำนวน 4 คน 2 ครั้ง โครงการนิเทศฝึกประสบการวืชาชีพ ฯกิจกรรมที่ 1 </t>
  </si>
  <si>
    <t>074/69</t>
  </si>
  <si>
    <t>4 มี.ค. 69</t>
  </si>
  <si>
    <t xml:space="preserve">ค่านิเทศ อาจารย์ อัญชิรญา  จันทรปิฎก สาขาวิชารัฐประศาสนศาสตร์ รหัสวิชา 3012402 รายวิชาการฝึกชีพสหกิจศึกษา จำนวน 4 คน 2 ครั้ง โครงการนิเทศฝึกประสบการวืชาชีพ ฯกิจกรรมที่ 1 </t>
  </si>
  <si>
    <t>075/69</t>
  </si>
  <si>
    <t xml:space="preserve">ค่านิเทศ อาจารย์ ดร.รจนา  เมืองแสน สาขาวิชาบริหารธุรกิจ สิชาอกธุรกิจดิจิทัล รหัสวิชา 4004503 รายวิชาสหกิจศึกษา 2 จำนวน 10 คน 2 ครั้ง โครงการนิเทศฝึกประสบการวืชาชีพ ฯกิจกรรมที่ 1 </t>
  </si>
  <si>
    <t>076/69</t>
  </si>
  <si>
    <t>4 มี.ค.69</t>
  </si>
  <si>
    <t xml:space="preserve">ค่านิเทศ อาจารย์ ดร.เสกศักดิ์  ปราบพาลา  สาขาวิชาบริหารธุรกิจ สิชาอกธุรกิจดิจิทัล รหัสวิชา4054502 รายวิชาฝึกประสบการณ์วิชาชีพสหกิจศึกษา จำนวน 7 คน 2 ครั้ง โครงการนิเทศฝึกประสบการวืชาชีพ ฯกิจกรรมที่ 1 </t>
  </si>
  <si>
    <t>073/69</t>
  </si>
  <si>
    <t>ค่าใช้จ่ายเดินทางไปราชการ ระหว่างวันที่ 2 กุมภาพันธ์ 2569 เพื่อไปนิเทศนักศึกษาสหกิจศึกษา หลักสูตรวิศวกรรมศาสตรบัณฑิต สาขาวิศวกรรมเครื่องกล ณ เอเชียทีค เดอะริเวอร์ฟรอนท์ เลขที่ 2194 ถนนเจริญกรุง แขวงวัดพระยาไกร เขตบางคอแหลม, กรุงเทพมหานคร 10120  โครงการนิเทศฝึกประสบการวืชาชีพ ฯกิจกรรมที่ 2 อาจารย์ ผศ ดร.พงษ์ภูไท  อุดมอริยทรัพย์ (ค่าเบี้ยเลี้ยง/ค่าน้ำมันเชื้อเพลิง)</t>
  </si>
  <si>
    <t>ค่าตอบแทนการสอบโครงร่างการค้นคว้าอิสระระดับปริญญาโท หลักสูตรบริหารธุรกิจมหาบัณฑฺต สาขาวิชาการจัดการธุรกิจและนวัตกรรม โครงการจัดการเรียนการสอนระดับปริญญาตรีและระดับบัณฑิตศึกษา คณะศิลปศาสตร์และวิทยาศาสตร์ กิจกรรมที่ 1  (ผศ.ดร.สำเริง  ไกยวงค์)</t>
  </si>
  <si>
    <t>ค่าตอบแทนการสอบโครงร่างการค้นคว้าอิสระระดับปริญญาโท หลักสูตรบริหารธุรกิจมหาบัณฑฺต สาขาวิชาการจัดการธุรกิจและนวัตกรรม โครงการจัดการเรียนการสอนระดับปริญญาตรีและระดับบัณฑิตศึกษา คณะศิลปศาสตร์และวิทยาศาสตร์ กิจกรรมที่ 1  (อ.ดร.รจนา  เมืองแสน)</t>
  </si>
  <si>
    <t>ค่าตอบแทนการสอบโครงร่างการค้นคว้าอิสระระดับปริญญาโท หลักสูตรบริหารธุรกิจมหาบัณฑฺต สาขาวิชาการจัดการธุรกิจและนวัตกรรม โครงการจัดการเรียนการสอนระดับปริญญาตรีและระดับบัณฑิตศึกษา คณะศิลปศาสตร์และวิทยาศาสตร์ กิจกรรมที่ 1  (ผศ.ดร.อัญชลี  ชัยศรี)</t>
  </si>
  <si>
    <t>ค่าตอบแทนการสอบโครงร่างการค้นคว้าอิสระระดับปริญญาโท หลักสูตรบริหารธุรกิจมหาบัณฑฺต สาขาวิชาการจัดการธุรกิจและนวัตกรรม โครงการจัดการเรียนการสอนระดับปริญญาตรีและระดับบัณฑิตศึกษา คณะศิลปศาสตร์และวิทยาศาสตร์ กิจกรรมที่ 1  (อ.ดร.สำราญ  วานนท์)</t>
  </si>
  <si>
    <t>ค่าตอบแทนการสอบโครงร่างการค้นคว้าอิสระระดับปริญญาโท หลักสูตรบริหารธุรกิจมหาบัณฑฺต สาขาวิชาการจัดการธุรกิจและนวัตกรรม โครงการจัดการเรียนการสอนระดับปริญญาตรีและระดับบัณฑิตศึกษา คณะศิลปศาสตร์และวิทยาศาสตร์ กิจกรรมที่ 1  (ผศ.ดร.ทัศไนยวรรณ  ดวงมาลา)</t>
  </si>
  <si>
    <t>ค่าตอบแทนการสอบโครงร่างการค้นคว้าอิสระระดับปริญญาโท หลักสูตรบริหารธุรกิจมหาบัณฑฺต สาขาวิชาการจัดการธุรกิจและนวัตกรรม โครงการจัดการเรียนการสอนระดับปริญญาตรีและระดับบัณฑิตศึกษา คณะศิลปศาสตร์และวิทยาศาสตร์ กิจกรรมที่ 1 (อ.ดร.สำราญ  วานนท์)</t>
  </si>
  <si>
    <t>079/69</t>
  </si>
  <si>
    <t>080/69</t>
  </si>
  <si>
    <t>081/69</t>
  </si>
  <si>
    <t>082/69</t>
  </si>
  <si>
    <t>083/69</t>
  </si>
  <si>
    <t>084/69</t>
  </si>
  <si>
    <t>085/69</t>
  </si>
  <si>
    <t>6 มี.ค.69</t>
  </si>
  <si>
    <t>ค่าใช้จ่ายโครงการพัฒนาศักยภาพนักศึกษาหลักสูตรบริหารธุรกิจ ภาค กศ.ปช. ประจำปีการศึกษา 2569 กิจกรรมที่ 1 ในวันที่ 10 - 11 มกราคม 2569 ณ มหาวิทยาลัยราชภัฏชัยภูมิ (ค่าตอบแทนวิทยากร/ค่าอาหารกลางวัน/ค่าอาหารว่าง) ผศ.หทัยกาญจน์  ทองศรีสุข</t>
  </si>
  <si>
    <t>086/69</t>
  </si>
  <si>
    <t>9 มี.ค.69</t>
  </si>
  <si>
    <t>ค่าใช้จ่ายโครงการพัฒนาศักยภาพนักศึกษาหลักสูตรบริหารธุรกิจ ภาค กศ.ปช. ประจำปีการศึกษา 2569 กิจกรรมที่ 2 ในวันที่ 17 - 18 มกราคม 2569 ณ มหาวิทยาลัยราชภัฏชัยภูมิ (ค่าตอบแทนวิทยากร/ค่าอาหารกลางวัน/ค่าอาหารว่าง) ผศ.หทัยกาญจน์  ทองศรีสุข</t>
  </si>
  <si>
    <t>087/69</t>
  </si>
  <si>
    <t>089/69</t>
  </si>
  <si>
    <t>12 มี.ค. 69</t>
  </si>
  <si>
    <t xml:space="preserve">ค่านิเทศ อาจารย์ ดร.พรหมพรปวีณ์  ใชยเรือง สาขาวิชารัฐประศาสนศาสตร์ รหัสวิชา 3012402 รายวิชาการฝึกสหกิจศึกษาจำนวน 4 คน 2 ครั้ง โครงการนิเทศฝึกประสบการวืชาชีพ ฯกิจกรรมที่ 1 </t>
  </si>
  <si>
    <t>รายงานการใช้จ่ายเงินงบประมาณรายได้ ประจำปีงบประมาณ  พ.ศ. 2569</t>
  </si>
  <si>
    <t xml:space="preserve">ค่านิเทศ นางสาวสุนันทา  สุภพล  สาขาวิชาบริหารธุรกิจ รหัสวิชา 4004506รายวิชาฝึกประสบการณ์วิชาชีพการบริหารธุรกิจ 1  จำนวน 3 คน 2 ครั้ง โครงการนิเทศฝึกประสบการวืชาชีพ ฯกิจกรรมที่ 1 </t>
  </si>
  <si>
    <t xml:space="preserve">ค่านิเทศ นางสาวสุนันทา  สุภพล  สาขาวิชาบริหารธุรกิจ วิชาเอกการเงิน รหัสวิชา 4004507รายวิชาฝึกประสบการณ์วิชาชีพการบริหารธุรกิจ 2  จำนวน 3 คน 2 ครั้ง โครงการนิเทศฝึกประสบการวืชาชีพ ฯกิจกรรมที่ 1 </t>
  </si>
  <si>
    <t xml:space="preserve">ค่านิเทศ นางสาวสุนันทา  สุภพล  สาขาวิชาบริหารธุรกิจ วิชาเอกการเงิน รหัสวิชา 4004503 รายวิชาสหกิจศึกษา 2  จำนวน 5 คน 2 ครั้ง โครงการนิเทศฝึกประสบการวืชาชีพ ฯกิจกรรมที่ 1 </t>
  </si>
  <si>
    <t>094/69</t>
  </si>
  <si>
    <t>17 มี.ค.69</t>
  </si>
  <si>
    <t>095/69</t>
  </si>
  <si>
    <t>096/69</t>
  </si>
  <si>
    <t>097/69</t>
  </si>
  <si>
    <t xml:space="preserve">ค่านิเทศ ผศ.กรุณา  จันทุม  สาขาสาธารณสุขชุมชน  รหัสวิชา 1015437 รายวิชาการฝึกประสบการณ์วิชาชีพการพัฒนาสุขภาพชุมชน  จำนวน 12 คน 2 ครั้ง โครงการนิเทศฝึกประสบการวืชาชีพ ฯกิจกรรมที่ 1 </t>
  </si>
  <si>
    <t>ค่าตอบแทนการสอนระดับปริญญาตรี ภาคการศึกษาที่ 2/2568 (กศ.ปช.) วิชาการเป็นผู้ประกอบการสมัยใหม่ รหัส 4012218 และวิชาธุรกิจสตาร์ทอัพ รหัส 4012209 สาขาวิชาการจัดการ โครงการจัดการเรียนการสอนระดับปริญญาตรีและระดับบัณฑิตศึกษาฯ กิจกรรมที่ 5  ผศ.หทัยกาญจน์  ทองศรีสุข</t>
  </si>
  <si>
    <t>105/69</t>
  </si>
  <si>
    <t>19 มี.ค.69</t>
  </si>
  <si>
    <t>ค่าใช้จ่ายในการประชุมคณะกรรมการประจำคณะ ครั้งที่ 3/2569 ในวันที่  18  มีนาคม 2569 โครงการบริหารจัดการคณะสู่ความเป็นเลิศฯ กิจกรรมที่ 2  
(ค่าเบี้ยประชุมคณะกรรมการ) นางมาลินี วาสสามัคคี</t>
  </si>
  <si>
    <t>106/69</t>
  </si>
  <si>
    <t xml:space="preserve">ค่านิเทศ นางสาวปาริชาติ  ปากชำนิ  สาขาสาธารณสุขชุมชน  รหัสวิชา 1015437 รายวิชาการฝึกประสบการณ์วิชาชีพการพัฒนาสุขภาพชุมชน  จำนวน 14 คน 2 ครั้ง โครงการนิเทศฝึกประสบการวืชาชีพ ฯกิจกรรมที่ 1 </t>
  </si>
  <si>
    <t>23 มี.ค. 69</t>
  </si>
  <si>
    <t>108/69</t>
  </si>
  <si>
    <t xml:space="preserve">ค่านิเทศ นางสาวสุวิตรา  สร้างนา สาขาสาธารณสุขชุมชน  รหัสวิชา 1015437 รายวิชาการฝึกประสบการณ์วิชาชีพการพัฒนาสุขภาพชุมชน  จำนวน 14 คน 2 ครั้ง โครงการนิเทศฝึกประสบการวืชาชีพ ฯกิจกรรมที่ 1 </t>
  </si>
  <si>
    <t>120/69</t>
  </si>
  <si>
    <t>30 มี.ค.69</t>
  </si>
  <si>
    <t>122/69</t>
  </si>
  <si>
    <t xml:space="preserve">ค่านิเทศ นางอนงค์วรรณ  ชิณศรี  สาขาวิชาบริหารธุรกิจ วิชาเอกการจัดการ  รหัสวิชา 4004503 รายวิชาสหกิจศึกษา 2  จำนวน 8 คน 2 ครั้ง โครงการนิเทศฝึกประสบการวืชาชีพ ฯกิจกรรมที่ 1 </t>
  </si>
  <si>
    <t>126/69</t>
  </si>
  <si>
    <t>2 เม.ย.69</t>
  </si>
  <si>
    <t xml:space="preserve">ค่านิเทศ ผศ.กาญจนา  สุขบัว  สาขาวิชานวัตกรรมอาหารสร้างสรรค์และโภชนาการ รหัสวิชา 1052402 รายวิชาสหกิจศึกษา จำนวน 4 คน 2 ครั้ง โครงการนิเทศฝึกประสบการวืชาชีพ ฯกิจกรรมที่ 1 </t>
  </si>
  <si>
    <t>ค่าตอบแทนการสอนระดับปริญญาตรี ภาคเรียนที่ 2/2568 ภาคการศึกษาเพื่อปวงชน (กศ.ปช) วิชา การเมืองการปกครองไทย รหัส 3012103  โครงการจัดการเรียนการสอนระดับปริญญาตรีและระดับบัณฑิตศึกษาฯ กิจกรรมที่ 5
อ.ดร.ณัฐปราย์  ชัยสินคุณานนต์</t>
  </si>
  <si>
    <t>ค่าตอบแทนการสอนระดับปริญญาตรี ภาคเรียนที่ 2/2568 ภาคการศึกษาเพื่อปวงชน (กศ.ปช) วิชา ความรู้เบื้องต้นเกี่ยวกับกฎหมาย รหัส 3012105  โครงการจัดการเรียนการสอนระดับปริญญาตรีและระดับบัณฑิตศึกษาฯ กิจกรรมที่ 5
อ.ดร.ณัฐปราย์  ชัยสินคุณานนต์</t>
  </si>
  <si>
    <t>139/69</t>
  </si>
  <si>
    <t>140/69</t>
  </si>
  <si>
    <t>9 เม.ย. 69</t>
  </si>
  <si>
    <t>ค่าตอบแทนการสอนระดับปริญญาโท หลักสูตรบริหารธุรกิจมหาบัณฑิต สาขาวิชาการธุรกิจและนวัตกรรม โครงการจัดการเรียนการสอนระดับปริญญาตรีและระดับบัณฑิตศึกษา คณะศิลปศาสตร์และวิทยาศาสตร์  กิจกรรมที่ 1 ภาคเรียนที่ 2/2568 อ.ดร.เฉลิมวุฒิ  อุทัยกัน</t>
  </si>
  <si>
    <t>ค่าตอบแทนการสอนระดับปริญญาโท หลักสูตรบริหารธุรกิจมหาบัณฑิต สาขาวิชาการธุรกิจและนวัตกรรม โครงการจัดการเรียนการสอนระดับปริญญาตรีและระดับบัณฑิตศึกษา คณะศิลปศาสตร์และวิทยาศาสตร์  กิจกรรมที่ 1 ภาคเรียนที่ 2/2568
ผศ.ดร.อัญชลี  ชัยศรี</t>
  </si>
  <si>
    <t>151/69</t>
  </si>
  <si>
    <t>152/69</t>
  </si>
  <si>
    <t>23 เม.ย.69</t>
  </si>
  <si>
    <t>ค่าตอบแทนการสอนระดับปริญญาโท หลักสูตรรัฐประศาสนศาสตร์มหาบัณฑิต สาขาวิชารัฐประศาสนศาสตร์ โครงการจัดการเรียนการสอนระดับปริญญาตรีและระดับบัณฑิตศึกษา คณะศิลปศาสตร์และวิทยาศาสตร์  กิจกรรมที่ 2 ภาคเรียนที่ 2/2568 ผศ.ดร.ธิติรัตน์  เหล่าคมพฤฒาจารย์</t>
  </si>
  <si>
    <t>ค่าตอบแทนการสอนระดับปริญญาโท หลักสูตรรัฐประศาสนศาสตร์มหาบัณฑิต สาขาวิชารัฐประศาสนศาสตร์ โครงการจัดการเรียนการสอนระดับปริญญาตรีและระดับบัณฑิตศึกษา คณะศิลปศาสตร์และวิทยาศาสตร์  กิจกรรมที่ 2 ภาคเรียนที่ 2/2568 ผศ.ดร.สมปอง  สุวรรณภูมา</t>
  </si>
  <si>
    <t>153/69</t>
  </si>
  <si>
    <t>154/69</t>
  </si>
  <si>
    <t>155/69</t>
  </si>
  <si>
    <t>ค่าตอบแทนการสอนระดับปริญญาโท หลักสูตรรัฐศาสตร์มหาบัณฑิต สาขาวิชารัฐศาสตร์ โครงการจัดการเรียนการสอนระดับปริญญาตรีและระดับบัณฑิตศึกษา คณะศิลปศาสตร์และวิทยาศาสตร์  กิจกรรมที่ 3 ภาคเรียนที่ 2/2568 อาจารย์ ดร.ธรรมรัตน์  โรมแพน</t>
  </si>
  <si>
    <t>ค่าตอบแทนการสอนระดับปริญญาเอก หลักสูตรรัฐศาสตร์มหาบัณฑิต สาขาวิชารัฐศาสตร์ โครงการจัดการเรียนการสอนระดับปริญญาตรีและระดับบัณฑิตศึกษา คณะศิลปศาสตร์และวิทยาศาสตร์  กิจกรรมที่ 3 ภาคเรียนที่ 2/2568 ผศ. ว่าที่พันตรี ดร.ณัฐดนัย  แก้วโพนงาม</t>
  </si>
  <si>
    <t>ค่าตอบแทนการสอนระดับปริญญาโท หลักสูตรรัฐศาสตร์มหาบัณฑิต สาขาวิชารัฐศาสตร์ โครงการจัดการเรียนการสอนระดับปริญญาตรีและระดับบัณฑิตศึกษา คณะศิลปศาสตร์และวิทยาศาสตร์  กิจกรรมที่ 3 ภาคเรียนที่ 2/2568 ผศ. ว่าที่พันตรี ดร.ณัฐดนัย  แก้วโพนงาม</t>
  </si>
  <si>
    <t>156/69</t>
  </si>
  <si>
    <t>23 เม.ย. 69</t>
  </si>
  <si>
    <t>157/69</t>
  </si>
  <si>
    <t>158/69</t>
  </si>
  <si>
    <t>ค่าตอบแทนการสอนระดับปริญญาโท หลักสูตรบริหารธุรกิจมหาบัณฑิต สาขาวิชาการจัดการธุรกิจและนวัตกรรม โครงการจัดการเรียนการสอนระดับปริญญาตรีและระดับบัณฑิตศึกษา คณะศิลปศาสตร์และวิทยาศาสตร์  กิจกรรมที่ 1 ภาคเรียนที่ 2/2568 ผศ.ดร.สำเริง  ไกยวงค์</t>
  </si>
  <si>
    <t>159/69</t>
  </si>
  <si>
    <t>160/69</t>
  </si>
  <si>
    <t>161/69</t>
  </si>
  <si>
    <t>174/69</t>
  </si>
  <si>
    <t>29 เม.ย.69</t>
  </si>
  <si>
    <t>ค่าใช้จ่ายในการประชุมคณะกรรมการประจำคณะ ครั้งที่ 4/2569 ในวันที่  28เมษายน 2569 โครงการบริหารจัดการคณะสู่ความเป็นเลิศฯ กิจกรรมที่ 2  
(ค่าเบี้ยประชุมคณะกรรมการ) นางมาลินี วาสสามัคคี</t>
  </si>
  <si>
    <t>รายจ่ายจำแนกตามโครงการงบประมาณรายได้ จำนวน  9 โครงการ</t>
  </si>
  <si>
    <t>แก้ไขยอดจากเดิม 24,000 เป็น 25,500 บาท 5 พ.ค.69</t>
  </si>
  <si>
    <t>แก้ไขยอดจากเดิม 21,600 เป็น 20,400 บาท 5 พ.ค.69</t>
  </si>
  <si>
    <t>แก้ไขยอดจากเดิม 36,000เป็น 34,000บาท 5 พ.ค.69</t>
  </si>
  <si>
    <t>ค่าตอบแทนการสอนระดับปริญญาโท หลักสูตรรัฐศาสตร์มหาบัณฑิต สาขาวิชารัฐศาสตร์ โครงการจัดการเรียนการสอนระดับปริญญาตรีและระดับบัณฑิตศึกษา คณะศิลปศาสตร์และวิทยาศาสตร์  กิจกรรมที่ 3 ภาคเรียนที่ 2/2568 
อาจารย์ ดร.สามารถ  สินทร</t>
  </si>
  <si>
    <t>7 พ.ค. 69</t>
  </si>
  <si>
    <t>186/69</t>
  </si>
  <si>
    <t>187/69</t>
  </si>
  <si>
    <t>188/69</t>
  </si>
  <si>
    <t>189/69</t>
  </si>
  <si>
    <t>190/69</t>
  </si>
  <si>
    <t>191/69</t>
  </si>
  <si>
    <t>192/69</t>
  </si>
  <si>
    <t>193/69</t>
  </si>
  <si>
    <t>194/69</t>
  </si>
  <si>
    <t>195/69</t>
  </si>
  <si>
    <t>196/69</t>
  </si>
  <si>
    <t>197/69</t>
  </si>
  <si>
    <t>ค่าตอบแทนอาจารย์ที่ปรึกษาวิทยานิพนธ์ ระดับปริญญาเอก หลักสูตรรัฐศาสตรดุษฎีบัณฑิต สาขาวิชารัฐศาสตร์ โครงการจัดการเรียนการสอนระดับปริญญาตรีและระดับบัณฑิตศึกษา คณะศิลปศาสตร์และวิทยาศาสตร์  กิจกรรมที่ 4 
อาจารย์ ดร.ชูเกียรติ  ผลาผล</t>
  </si>
  <si>
    <t>ค่าตอบแทนอาจารย์ที่ปรึกษาวิทยานิพนธ์ ระดับปริญญาเอก หลักสูตรรัฐศาสตรดุษฎีบัณฑิต สาขาวิชารัฐศาสตร์ โครงการจัดการเรียนการสอนระดับปริญญาตรีและระดับบัณฑิตศึกษา คณะศิลปศาสตร์และวิทยาศาสตร์  กิจกรรมที่ 4 
ผศ.ว่าที่พันตรี ดร.ณัฐดนัย  แก้วโพนงาม</t>
  </si>
  <si>
    <t>ค่าตอบแทนอาจารย์ที่ปรึกษาวิทยานิพนธ์ ระดับปริญญาเอก หลักสูตรรัฐศาสตรดุษฎีบัณฑิต สาขาวิชารัฐศาสตร์ โครงการจัดการเรียนการสอนระดับปริญญาตรีและระดับบัณฑิตศึกษา คณะศิลปศาสตร์และวิทยาศาสตร์  กิจกรรมที่ 4 
อาจารย์ ดร.ธรรมรัตน์  โรมแพม</t>
  </si>
  <si>
    <t>ค่าตอบแทนการสอนระดับปริญญาตรี ภาคเรียนที่ 2/2568 ภาคการศึกษาเพื่อปวงชน (กศ.ปช) วิชา นวัตกรรมการจัดการทางการเงิน รหัส 4012208  โครงการจัดการเรียนการสอนระดับปริญญาตรีและระดับบัณฑิตศึกษาฯ กิจกรรมที่ 5
นางสาวรัศมีเพ็ญ  นาครินทร์</t>
  </si>
  <si>
    <t>199/69</t>
  </si>
  <si>
    <t>ค่าตอบแทนการสอนระดับปริญญาโท หลักสูตรรัฐประศาสนศาสตร์มหาบัณฑิต สาขาวิชารัฐประศาสนศาสตร์ โครงการจัดการเรียนการสอนระดับปริญญาตรีและระดับบัณฑิตศึกษา คณะศิลปศาสตร์และวิทยาศาสตร์  กิจกรรมที่ 2 ภาคเรียนที่ 2/2568 ผศ.ดร.ลักขณา  สุกใส</t>
  </si>
  <si>
    <t>208/69</t>
  </si>
  <si>
    <t>18 พ.ค. 69</t>
  </si>
  <si>
    <t xml:space="preserve">ค่านิเทศ อาจารย์สุนันทา  สุภพล  สาขาวิชาบริหารธุรกิจ  รหัสวิชา 4004507 รายวิชาการฝึกประสบการณ์วิชาชีพการบริหารธุรกิจ 2 จำนวน 3 คน 2 ครั้ง โครงการนิเทศฝึกประสบการวืชาชีพ ฯกิจกรรมที่ 1 </t>
  </si>
  <si>
    <t>212/69</t>
  </si>
  <si>
    <t>25 พ.ค.69</t>
  </si>
  <si>
    <t>078/69</t>
  </si>
  <si>
    <t>6 มี.ค. 69</t>
  </si>
  <si>
    <t xml:space="preserve">ค่านิเทศ อาจารย์ศันสนีย์  แอมประชา  สาขาวิชาบริหารธุรกิจ รหัสวิชา 4004503 รายวิชาสหกิจศึกษา จำนวน 4 คน 2 ครั้ง โครงการนิเทศฝึกประสบการวืชาชีพ ฯกิจกรรมที่ 1 </t>
  </si>
  <si>
    <t>217/69</t>
  </si>
  <si>
    <t>4 มิ.ย. 69</t>
  </si>
  <si>
    <t>ค่านิเทศ ผศ.ดร.เกศสุดา  โภคานิตย์  สาขารัฐศาสตร์ รายวิชาฝึกประสบการณ์วิชาชีพทางรัฐศาสตร์ รหัส 3022403 จำนวน 1 คน 2 ครั้ง โครงการนิเทศฝึกประสบการวืชาชีพ ฯกิจกรรมที่ 1  เทอม 3/2568</t>
  </si>
  <si>
    <t>ค่าใช้จ่ายในการประชุมคณะกรรมการประจำคณะ ครั้งที่ 5/2569 ในวันที่  20พฤษภาคม 2569 ณ ห้องประชุม 2 ชั้น 1 อาคารปฏิบัติการเทคโนโลยีอุตสาหกรรมโครงการบริหารจัดการคณะสู่ความเป็นเลิศฯ กิจกรรมที่ 2  (ค่าเบี้ยประชุมคณะกรรมการ) นางมาลินี วาสสามัคคี</t>
  </si>
  <si>
    <t>8 มิ.ย. 69</t>
  </si>
  <si>
    <t>220/69</t>
  </si>
  <si>
    <t>ค่านิเทศ ผศ.ดร.อนุสรณ์  พัฒนศานติ์ สาขารัฐศาสตร์ รายวิชาฝึกประสบการณ์วิชาชีพทางรัฐศาสตร์ รหัส 3022403 จำนวน 1 คน 2 ครั้ง โครงการนิเทศฝึกประสบการวืชาชีพ ฯกิจกรรมที่ 1  เทอม 3/2568</t>
  </si>
  <si>
    <t>226/69</t>
  </si>
  <si>
    <t>8 มิ.ย.69</t>
  </si>
  <si>
    <t>ค่านิเทศ ผศ.ดร.เทอดศักดิ์  ไป่จันทึก สาขารัฐศาสตร์ รายวิชาฝึกประสบการณ์วิชาชีพทางรัฐศาสตร์ รหัส 3022403 จำนวน 1 คน 2 ครั้ง โครงการนิเทศฝึกประสบการวิชาชีพ ฯกิจกรรมที่ 1  เทอม 3/2568</t>
  </si>
  <si>
    <t>233/69</t>
  </si>
  <si>
    <t>10 มิ.ย. 69</t>
  </si>
  <si>
    <t xml:space="preserve">ค่านิเทศ นางสาวปาริชาติ  ปากชำนิ สาขาสาธารณสุขชุมชน  รหัสวิชา 1012315รายวิชาการเตรียมฝึกประสบการณ์วิชาชีพสาธารณสุข  จำนวน 18 คน 2 ครั้ง โครงการนิเทศฝึกประสบการวืชาชีพ ฯกิจกรรมที่ 1 </t>
  </si>
  <si>
    <t>236/69</t>
  </si>
  <si>
    <t>10 มิ.ย.69</t>
  </si>
  <si>
    <t>ค่าตอบแทนการสอนระดับปริญญาตรี ภาคเรียนที่ 3/2568 ภาคการศึกษาเพื่อปวงชน (กศ.ปช) วิชา สมันาทางการจัดการ รหัสวิชา 4012211  โครงการจัดการเรียนการสอนระดับปริญญาตรีและระดับบัณฑิตศึกษาฯ กิจกรรมที่ 5
อาจารย์สุภร  วรรณสิงห์</t>
  </si>
  <si>
    <t>15 มิ.ย. 69</t>
  </si>
  <si>
    <t>240/69</t>
  </si>
  <si>
    <t>ค่าตอบแทนการสอนระดับปริญญาตรี ภาคเรียนที่ 3/2568 ภาคการศึกษาเพื่อปวงชน (กศ.ปช) วิชา การจัดการการตลาด รหัสวิชา 4012206  โครงการจัดการเรียนการสอนระดับปริญญาตรีและระดับบัณฑิตศึกษาฯ กิจกรรมที่ 5
ผศ.หทัยกาญจน์  ทองศรีสุข</t>
  </si>
  <si>
    <t>16 มิ.ย. 69</t>
  </si>
  <si>
    <t>248/69</t>
  </si>
  <si>
    <t>ค่าตอบแทนการสอนระดับปริญญาโท หลักสูตรรัฐศาสตร์มหาบัณฑิต สาขาวิชารัฐศาสตร์ โครงการจัดการเรียนการสอนระดับปริญญาตรีและระดับบัณฑิตศึกษา คณะศิลปศาสตร์และวิทยาศาสตร์  กิจกรรมที่ 3 ภาคเรียนที่ 3/2568 
อ.ดร.ธรรมรัตน์  โรมแพน</t>
  </si>
  <si>
    <t>ค่าตอบแทนการสอนระดับปริญญาโท หลักสูตรรัฐศาสตร์มหาบัณฑิต สาขาวิชารัฐศาสตร์ โครงการจัดการเรียนการสอนระดับปริญญาตรีและระดับบัณฑิตศึกษา คณะศิลปศาสตร์และวิทยาศาสตร์  กิจกรรมที่ 3 ภาคเรียนที่ 3/2568 
ผศ.ว่าที่พันตรี ดร.ณัฐดนัย  แก้วโพนงาม</t>
  </si>
  <si>
    <t>18 มิ.ย.69</t>
  </si>
  <si>
    <t>253/69</t>
  </si>
  <si>
    <t>254/69</t>
  </si>
  <si>
    <t>ค่าตอบแทนการสอนระดับปริญญาตรี ภาคเรียนที่ 3/2568 ภาคการศึกษาเพื่อปวงชน (กศ.ปช) วิชา การวิเคราะห์งบการเงินและรายงานทางการเงิน รหัสวิชา 4012219  โครงการจัดการเรียนการสอนระดับปริญญาตรีและระดับบัณฑิตศึกษาฯ กิจกรรมที่ 5 อาจารย์สุนันทา  สุภพล</t>
  </si>
  <si>
    <t>24 มิ.ย. 69</t>
  </si>
  <si>
    <t>266/69</t>
  </si>
  <si>
    <t>25 มิ.ย. 69</t>
  </si>
  <si>
    <t>อว 0646.02/1056 ลงวันที่ 23 มิ.ย. 69</t>
  </si>
  <si>
    <t xml:space="preserve">บันทึกข้อความ เรื่อง ขออนุญาตไปราชการโดย ผศ.ดร.สำเริง  ไกยวงค์ พร้อมคณะ เดินทางไปราชการเพื่อรับ - ส่ง นักศึกษาต่างชาติ สัญชาติจีน ในวันที่ 7 กรกฎาคม 2569 ณ สนามบินสุวรรณภูมิ อำเภอบางพลี จังหวัดสมุทรปราการ </t>
  </si>
  <si>
    <t>ค่าใช้จ่ายในการประชุมคณะกรรมการประจำคณะ ครั้งที่ 6/2569 ในวันที่  24 มิถุนายน 2569 ณ คณะศิลปศาสตร์และวิทยาศาสตร์ โครงการบริหารจัดการคณะสู่ความเป็นเลิศฯ กิจกรรมที่ 2  (ค่าเบี้ยประชุมคณะกรรมการ) นางมาลินี วาสสามัคคี</t>
  </si>
  <si>
    <t>268/69</t>
  </si>
  <si>
    <t xml:space="preserve">ค่านิเทศ นางสาวสุวิตรา  สร้างนา สาขาสาธารณสุขชุมชน  รหัสวิชา 1012315รายวิชาการเตรียมฝึกประสบการณ์วิชาชีพสาธารณสุข  จำนวน 10 คน 2 ครั้ง โครงการนิเทศฝึกประสบการวืชาชีพ ฯกิจกรรมที่ 1 </t>
  </si>
  <si>
    <t>279/69</t>
  </si>
  <si>
    <t>2 ก.ค.69</t>
  </si>
  <si>
    <t>ค่าใช้จ่ายโครงการรับการตรวจประเมินคุณภาพการศึกษาภายใน คณะศิลปศาสตร์และวิทยาศาสตร์ ประจำปีการศึกษา 2568  ระดับหลักสูตร (หลักสูตรศิลปศาสตรมหาบัณฑิต สาขาวิชายุทธศาสตร์การพัฒนา) กิจกรรมที่ 1 ในวันที่ 13 มิถุนายน 2569 ณ อาคารปฏิบัติการเทคโนโลยีออุตสาหกรรม มหาวิทยาลัยราชภัฏชัยภูมิ (ค่าตอบแทนกรรมการ) รศ.ดร.สุนทร  ปัญญะพงษ์</t>
  </si>
  <si>
    <t>6 ก.ค. 69</t>
  </si>
  <si>
    <t>282/69</t>
  </si>
  <si>
    <t>ค่าตอบแทนการสอนระดับปริญญาตรี ภาคเรียนที่ 2/2568 ภาคการศึกษาเพื่อปวงชน (กศ.ปช) วิชา พฤติกรรมผู้บริโภคในยุคดิจิทัล รหัสวิชา 4012216 โครงการจัดการเรียนการสอนระดับปริญญาตรีและระดับบัณฑิตศึกษาฯ กิจกรรมที่ 5 อาจารย์เสกศักดิ์  ปราบพาลา</t>
  </si>
  <si>
    <t>284/69</t>
  </si>
  <si>
    <t>ค่าใช้จ่ายโครงการรับการตรวจประเมินคุณภาพการศึกษาภายใน คณะศิลปศาสตร์และวิทยาศาสตร์ ประจำปีการศึกษา 2568  ระดับหลักสูตร (หลักสูตรรัฐศาสตรมหาบัณฑิต สาขารัฐศาสตร์ และหลักสูตรรัฐศาสตรดุษฎีบัณฑิต สาขารัฐศาสตร์) กิจกรรมที่ 1 ในวันที่ 14 - 15 พฤษภาคม 2569 ณ อาคารปฏิบัติการเทคโนโลยีออุตสาหกรรม มหาวิทยาลัยราชภัฏชัยภูมิ (ค่าตอบแทนกรรมการ) นางสาวณัฐนรี  ไทยภัดี</t>
  </si>
  <si>
    <t>9 ก.ค. 69</t>
  </si>
  <si>
    <t>293/69</t>
  </si>
  <si>
    <t>ค่าตอบแทนการสอนระดับปริญญาตรี ภาคเรียนที่ 3/2568 ภาคการศึกษาเพื่อปวงชน (กศ.ปช) วิชา กฎหมายรัฐธรรมนูญ รหัสวิชา 3012109 โครงการจัดการเรียนการสอนระดับปริญญาตรีและระดับบัณฑิตศึกษาฯ กิจกรรมที่ 5 ผศ.ดร.ฉัตรณรงค์ศักดิ์  สุธรรมดี</t>
  </si>
  <si>
    <t>296/69</t>
  </si>
  <si>
    <t xml:space="preserve">ค่านิเทศ อาจารย์ชนินทร์  ศรีโยยอด สาขาวิชาศิลปะและนวัตกรรมการออกแบบ รหัสวิชา 1166301 รายวิชา การฝึกประสบการวิชาชีพ  จำนวน 4 คน 2 ครั้ง  เทอม2/68 โครงการนิเทศฝึกประสบการวืชาชีพ ฯกิจกรรมที่ 1 </t>
  </si>
  <si>
    <t xml:space="preserve">ค่านิเทศ ผศ.ดร.ดวงใจ  วิชัย สาขาสาธารณสุขชุมชน  รหัสวิชา 1014333 รายวิชาการเตรียมฝึกประสบการณ์วิชาชีพสาธารณสุข  จำนวน 13 คน 2 ครั้ง ภาคเรียนที่ 2/2568 โครงการนิเทศฝึกประสบการวืชาชีพ ฯกิจกรรมที่ 1 </t>
  </si>
  <si>
    <t xml:space="preserve">ค่านิเทศ ผศ.ดร.ดวงใจ  วิชัย สาขาสาธารณสุขชุมชน  รหัสวิชา 1012315 รายวิชาการเตรียมฝึกประสบการณ์วิชาชีพสาธารณสุข  จำนวน 9 คน 2 ครั้ง ภาคเรียนที่ 3/2568 โครงการนิเทศฝึกประสบการวืชาชีพ ฯกิจกรรมที่ 1 </t>
  </si>
  <si>
    <t>308/69</t>
  </si>
  <si>
    <t>309/69</t>
  </si>
  <si>
    <t>310/69</t>
  </si>
  <si>
    <t>15 ก.ค. 69</t>
  </si>
  <si>
    <t>ค่าตอบแทนอาจารย์ที่ปรึกษาระดับปริญญาโท หลักสูตรบริหารธุรกิจมหาบัณฑิต สาขาวิชาการจัดการธุรกิจและนวัตกรรม โครงการจัดการเรียนการสอนระดับปริญญาตรีและระดับบัณฑิตศึกษา คณะศิลปศาสตร์และวิทยาศาสตร์  กิจกรรมที่ 1อาจารย์ ดร.สำราญ  วานนท์</t>
  </si>
  <si>
    <t>17 ก.ค. 69</t>
  </si>
  <si>
    <t>312/69</t>
  </si>
  <si>
    <t>ค่าตอบแทนการสอบโครงร่างวิทยานิพนธ์ระดับปริญญาโท หลักสูตรบริหารธุรกิจมหาบัณฑฺต สาขาวิชาการจัดการธุรกิจและนวัตกรรม นายปัญจรุจน์  วัชรจรัสภัสร์โครงการจัดการเรียนการสอนระดับปริญญาตรีและระดับบัณฑิตศึกษา คณะศิลปศาสตร์และวิทยาศาสตร์ กิจกรรมที่ 1  (ผศ.ดร.อัญชลี  ชัยศรี)</t>
  </si>
  <si>
    <t>ค่าตอบแทนที่ปรึกษาการค้นคว้าอิสระระดับปริญญาโท หลักสูตรบริหารธุรกิจมหาบัณฑฺต สาขาวิชาการจัดการธุรกิจและนวัตกรรม Ms.Rong Zhang โครงการจัดการเรียนการสอนระดับปริญญาตรีและระดับบัณฑิตศึกษา คณะศิลปศาสตร์และวิทยาศาสตร์ กิจกรรมที่ 1  (ผศ.ดร.อัญชลี  ชัยศรี)</t>
  </si>
  <si>
    <t>ค่าตอบแทนอาจารย์ที่ปรึกษาระดับปริญญาโท  หลักสูตรบริหารธุรกิจมหาบัณฑิต สาขาวิชาการจัดการธุรกิจและนวัตกรรม จำนวน 2 คน  โครงการจัดการเรียนการสอนระดับปริญญาตรีและระดับบัณฑิตศึกษา คณะศิลปศาสตร์และวิทยาศาสตร์  กิจกรรมที่ 1(ผศ.ดร.สำเริง  ไกยวงค์)</t>
  </si>
  <si>
    <t>ค่าตอบแทนการสอบโครงร่างวิทยานิพนธ์ระดับปริญญาโท หลักสูตรบริหารธุรกิจมหาบัณฑฺต สาขาวิชาการจัดการธุรกิจและนวัตกรรม นายจิราเจต  ลิ้มภักดี โครงการจัดการเรียนการสอนระดับปริญญาตรีและระดับบัณฑิตศึกษา คณะศิลปศาสตร์และวิทยาศาสตร์ กิจกรรมที่ 1 (ผศ.ดร.สำเริง  ไกยวงค์)</t>
  </si>
  <si>
    <t>313/69</t>
  </si>
  <si>
    <t>314/69</t>
  </si>
  <si>
    <t>315/69</t>
  </si>
  <si>
    <t>316/69</t>
  </si>
  <si>
    <t>ค่าตอบแทนอาจารย์ที่ปรึกษาวิทยานิพนธ์ระดับปริญญาโท  หลักสูตรรัฐประศาสนศาสตร์มหาบัณฑิต สาขาวิชารัฐประศาสนศาสตร จำนวน 1 คน  โครงการจัดการเรียนการสอนระดับปริญญาตรีและระดับบัณฑิตศึกษา คณะศิลปศาสตร์และวิทยาศาสตร์  กิจกรรมที่ 2 (รศ.ดร.พิทักษ์พงศ์  กางการ)</t>
  </si>
  <si>
    <t>ค่าตอบแทนการสอบวิทยานิพนธ์ระดับปริญญาโท  หลักสูตรรัฐประศาสนศาสตร์มหาบัณฑิต สาขาวิชารัฐประศาสนศาสตร จำนวน 1 คน นายกิตติวันท์  ภาคภูมิ  โครงการจัดการเรียนการสอนระดับปริญญาตรีและระดับบัณฑิตศึกษา คณะศิลปศาสตร์และวิทยาศาสตร์  กิจกรรมที่ 2 (ผศ.ดร.สมปอง  สุวรรณภูมา)</t>
  </si>
  <si>
    <t>ค่าตอบแทนการสอนระดับปริญญาโท  หลักสูตรรัฐประศาสนศาสตร์มหาบัณฑิต สาขาวิชารัฐประศาสนศาสตร ภาคเรียนที่ 3/2568  โครงการจัดการเรียนการสอนระดับปริญญาตรีและระดับบัณฑิตศึกษา คณะศิลปศาสตร์และวิทยาศาสตร์  กิจกรรมที่ 2 (ผศ.ดร.สมปอง  สุวรรณภูมา)</t>
  </si>
  <si>
    <t>ค่าตอบแทนการสอนระดับปริญญาโท  หลักสูตรรัฐประศาสนศาสตร์มหาบัณฑิต สาขาวิชารัฐประศาสนศาสตร ภาคเรียนที่ 3/2568  โครงการจัดการเรียนการสอนระดับปริญญาตรีและระดับบัณฑิตศึกษา คณะศิลปศาสตร์และวิทยาศาสตร์  กิจกรรมที่ 2 (ผศ.ดร.ธิติรัตน์   เหล่าคมพฤฒาจารย์)</t>
  </si>
  <si>
    <t>317/69</t>
  </si>
  <si>
    <t>318/69</t>
  </si>
  <si>
    <t>319/69</t>
  </si>
  <si>
    <t>320/69</t>
  </si>
  <si>
    <t>ค่าใช้จ่ายโครงการรับการตรวจประเมินคุณภาพการศึกษาภายใน คณะศิลปศาสตร์และวิทยาศาสตร์ ประจำปีการศึกษา 2568  ระดับหลักสูตร (หลักสูตรรัฐศาสตรบัณฑิต สาขารัฐศาสตร์ และหลักสูตรรัฐประศาสนศาสตรบัณฑิต สาขารัฐประศาสนศาสตร์) กิจกรรมที่ 1 ในวันที่ 28 พฤษภาคม 2569 ณ อาคารปฏิบัติการเทคโนโลยีออุตสาหกรรม มหาวิทยาลัยราชภัฏชัยภูมิ (ค่าตอบแทนกรรมการ) ผศ.วิมลศิลป์  ปรุงชัยภูมิ</t>
  </si>
  <si>
    <t>21 ก.ค. 69</t>
  </si>
  <si>
    <t>322/69</t>
  </si>
  <si>
    <t>ค่าตอบแทนการสอนระดับปริญญาตรี ภาคเรียนที่ 3/2568 ภาคการศึกษาเพื่อปวงชน (กศ.ปช) วิชา องค์การและการจัดการสมัยใหม่ รหัสวิชา 3012124 โครงการจัดการเรียนการสอนระดับปริญญาตรีและระดับบัณฑิตศึกษาฯ กิจกรรมที่ 5 อ.ดร.พรหมพรปวีณ์  ใชยเรื่อง</t>
  </si>
  <si>
    <t>23 ก.ค. 69</t>
  </si>
  <si>
    <t>325/69</t>
  </si>
  <si>
    <t>ค่าใช้จ่ายโครงการรับการตรวจประเมินคุณภาพการศึกษาภายใน คณะศิลปศาสตร์และวิทยาศาสตร์ ประจำปีการศึกษา 2568  ระดับหลักสูตร จำนวน 1 หลักสูตร (สาขาวิชาวิศวกรรมการผลิตและระบบอัตโนมัติ )  กิจกรรมที่ 1 ในวันที่ 22 พฤษภาคม 2569 ณ อาคารปฏิบัติการเทคโนโลยีออุตสาหกรรม มหาวิทยาลัยราชภัฏชัยภูมิ (ค่าตอบแทนกรรมการ)  นางสาวณัฐนรี  ไทยภักดี</t>
  </si>
  <si>
    <t>329/69</t>
  </si>
  <si>
    <t>3 ส.ค. 69</t>
  </si>
  <si>
    <t>ค่าตอบแทนกรรมการสอบวิทยานิพนธ์ ระดับปริญญาเอก หลักสูตรรัฐศาสตรดุษฎีบัณฑิต สาขาวิชารัฐศาสตร์ โครงการจัดการเรียนการสอนระดับปริญญาตรีและระดับบัณฑิตศึกษา คณะศิลปศาสตร์และวิทยาศาสตร์ จำนวน 3 คน วันที่ 27 กรกฎาคม 2569  กิจกรรมที่ 4  อาจารย์ ดร.ธรรมรัตน์  โรมแพม</t>
  </si>
  <si>
    <t>4 ส.ค. 69</t>
  </si>
  <si>
    <t>331/69</t>
  </si>
  <si>
    <t>4 ส.ค.69</t>
  </si>
  <si>
    <t>ค่าใช้จ่ายโครงการรับการตรวจประเมินคุณภาพการศึกษาภายใน คณะศิลปศาสตร์และวิทยาศาสตร์ ประจำปีการศึกษา 2568  ระดับหลักสูตร จำนวน 1 หลักสูตร (หลักสูตรบริหารธุรกิจดุษฎีบัณฑิต สาขาวิชาการจัดการธุรกิจและนวัตกรรม )  กิจกรรมที่ 1 ในวันที่ 2 กรกฎาคม  2569 ณ อาคารปฏิบัติการเทคโนโลยีออุตสาหกรรม มหาวิทยาลัยราชภัฏชัยภูมิ (ค่าตอบแทนกรรมการ) ผศ.ดร.อัญชลี  ชัยศรี</t>
  </si>
  <si>
    <t>334/69</t>
  </si>
  <si>
    <t>ค่าใช้จ่ายเดินทางไปราชการเพื่อนิทศนักศึกษาสหกิจศึกษา หลักสูตรวิศวกรรมศาสตรบัณฑิต สาขาวิชาวิศวกรรมอุตสาหการและโลจิสติกส์ ในพื้นที่จังหวัดปทุมธานี จังหลัดชลบุรี และจังหวัดสมุทรปราการ ระหว่างวันที่ 1 - 3 กรกฎาคม 2569  โครงการนิเทศนักศึกษาฝึกประสบการณ์วิชาชีพ หรือสหกิจศึกษา คณะศิลปศาสตร์และวิทยาศาสตร์ ประจำปีงบประมาณ 2569 กิจกรรมที่ 2 (ค่าเบี้ยเลี้ยง/ค่าน้ำมันเชื้อเพลิง/ค่าที่พักเหมาจ่าย) อาจารย์วราภรณ์  จันทร์เวียง</t>
  </si>
  <si>
    <t>337/69</t>
  </si>
  <si>
    <t>5 ส.ค. 69</t>
  </si>
  <si>
    <t>อว 0646.02/1395 ลงวันที่ 5 ส.ค 69</t>
  </si>
  <si>
    <t xml:space="preserve">บันทึกข้อความ เรื่อง ขออนุญาตเดินทางไปราชการ โดยอาจารย์ชยารัก ธานี ติขะกุล พร้อมคณะ เพื่อนิเทศนักศึกษาสหกิจศึกษา หลักสูตรวิศวกรรมศาสตรบัณฑิต สาขาวิชาวิศวกรรมการผลิตและระบบอัตโนมัติ ในวันที่ 17 สิงหาคม 2569 ณ บริษัท เนเด็ด (ประเทศไทย) จำกัด ตำบลหนองระเวียง อำเภอเมืองนครราชสีมา จังหวัดนครราชสีมา </t>
  </si>
  <si>
    <t>อว 0646.02/1396 ลงวันที่ 5 ส.ค 69</t>
  </si>
  <si>
    <t>บันทึกข้อความ เรื่อง ขออนุญาตเดินทางไปราชการ โดยอาจารย์ชยารัก ธานี ติขะกุล พร้อมคณะ เพื่อนิเทศนักศึกษาสหกิจศึกษา หลักสูตรวิศวกรรมศาสตรบัณฑิต สาขาวิชาวิศวกรรมการผลิตและระบบอัตโนมัติ ในวันที่ 26 - 28 สิงหาคม 2569 ณ บริษัท ทีม ซีเอฟ พรีซิชั่น จำกัด จ.นนทบุรี  บริษัท เอฟเอ็มพี กรุ๊ป (ประเทศไทย) จำกัด จ.ระยอง และบริษัท พี่.เจชลบุรี พาราวู้ด จำกัด จ.ชลบุรี</t>
  </si>
  <si>
    <t>ค่าใช้จ่ายโครงการรับการตรวจประเมินคุณภาพการศึกษาภายใน คณะศิลปศาสตร์และวิทยาศาสตร์ ประจำปีการศึกษา 2568  ระดับหลักสูตร จำนวน 2 หลักสูตร (หลักสูตรบริหารธุรกิจบัณฑิต สาขาบริหารธุรกิจ และสาขาการเป็นผู้ประกอบการสตาร์ทอัพด้านการท่องเที่ยวและโรงแรม )  กิจกรรมที่ 1 ในวันที่ 22  พฤษภาคม  2569 ณ อาคารปฏิบัติการเทคโนโลยีออุตสาหกรรม มหาวิทยาลัยราชภัฏชัยภูมิ (ค่าตอบแทนกรรมการ) ผศ.ดร.อารีรัตน์  พัฒนชีวะพลู</t>
  </si>
  <si>
    <t>ค่าใช้จ่ายโครงการรับการตรวจประเมินคุณภาพการศึกษาภายใน คณะศิลปศาสตร์และวิทยาศาสตร์ ประจำปีการศึกษา 2568  ระดับหลักสูตร จำนวน 2 หลักสูตร (หลักสูตรนิติศาสตรบัณฑิต สาขาวิชานิติศาสตร์ และหลักสูตรรัฐประศาสนศาสตรบัณฑิต สาขาวิชารัฐประศาสนศาสตร์)  กิจกรรมที่ 1 ในวันที่ 29  พฤษภาคม  2569 ณ อาคารปฏิบัติการเทคโนโลยีออุตสาหกรรม มหาวิทยาลัยราชภัฏชัยภูมิ (ค่าตอบแทนกรรมการ) ผศ.วิมลศิลป์   ปรุงชัยภูมิ</t>
  </si>
  <si>
    <t>339/69</t>
  </si>
  <si>
    <t>338/69</t>
  </si>
  <si>
    <t>6 ส.ค. 69</t>
  </si>
  <si>
    <t>ค่าใช้จ่ายโครงการรับการตรวจประเมินคุณภาพการศึกษาภายใน คณะศิลปศาสตร์และวิทยาศาสตร์ ประจำปีการศึกษา 2568  ระดับหลักสูตร จำนวน 1 หลักสูตร (หลักสูตรศิลปกรรมศาสตรบัณฑิต สาขาวิชาศิลปะและนวัตกรรมการออกแบบ)  กิจกรรมที่ 1 ในวันที่ 29  พฤษภาคม  2569 ณ อาคารปฏิบัติการเทคโนโลยีออุตสาหกรรม มหาวิทยาลัยราชภัฏชัยภูมิ (ค่าตอบแทนกรรมการ) ผศ.วิมลศิลป์   ปรุงชัยภูมิ</t>
  </si>
  <si>
    <t>10 ส.ค. 69</t>
  </si>
  <si>
    <t>343/69</t>
  </si>
  <si>
    <t>สรุปข้อมูล ณ วันที่ 11  สิงหาคม 2569 เวลา 15.30 น.</t>
  </si>
  <si>
    <t xml:space="preserve">ค่านิเทศ นายนฤดม  ปิ่นทอง สาขาวิชาศิลปะและนวัตกรรมการออกแบบ  รหัสวิชา 1166301 รายวิชาการฝึกประสบการณ์วิชาชีพ จำนวน 4 คน 2 ครั้ง ภาคเรียนที่ ฤดูร้อน/2568 โครงการนิเทศฝึกประสบการวืชาชีพ ฯกิจกรรมที่ 1 </t>
  </si>
  <si>
    <t>347/69</t>
  </si>
  <si>
    <t>13 ส.ค. 69</t>
  </si>
  <si>
    <t>ค่าใช้จ่ายโครงการรับการตรวจประเมินคุณภาพการศึกษาภายใน คณะศิลปศาสตร์และวิทยาศาสตร์ ประจำปีการศึกษา 2568  ระดับหลักสูตร จำนวน 4 หลักสูตร (วิศวกรรมเครื่องกล/วิศวกรรมุตสาหการและโลจิสติกส์/สาธารณสุขศาสตร์/วิทยาการคอมพิวเตอร์)  กิจกรรมที่ 1 ในวันที่ 18 - 21 พฤษภาคม  2569 ณ อาคารปฏิบัติการเทคโนโลยีออุตสาหกรรม มหาวิทยาลัยราชภัฏชัยภูมิ (ค่าตอบแทนกรรมการ) น.ส.ณัฐนรี  ไทยภักดี</t>
  </si>
  <si>
    <t>348/69</t>
  </si>
  <si>
    <t>อว 0646.02/1469 ลงวันที่ 13 ส.ค 69</t>
  </si>
  <si>
    <t>บันทึกข้อความ เรื่อง ขออนุญาตเดินทางไปราชการ โดยอาจารย์วราภรณ์  จันทร์เวียง พร้อมคณะ เพื่อนิเทศนักศึกษาสหกิจศึกษา หลักสูตรวิศวกรรมศาสตรบัณฑิต สาขาวิชาวิศวกรรมอุตสาหรการและโลจิสติกส์ ในวันที่ 18 - 20 สิงหาคม 2569 ในพื้นที่จังหวัดสมุทรปราการ และจังหวัดชลบุรี</t>
  </si>
  <si>
    <t>อว 0646.02/1470 ลงวันที่ 13 ส.ค 69</t>
  </si>
  <si>
    <t>บันทึกข้อความ เรื่อง ขออนุญาตเดินทางไปราชการ โดยอาจารย์ ดร.รัชวุธ  สุทธิ พร้อมคณะ เพื่อนิเทศนักศึกษาสหกิจศึกษา หลักสูตรวิศวกรรมศาสตรบัณฑิต สาขาวิชาวิศวกรรมอุตสาหรการและโลจิสติกส์ ในวันที่ 24 สิงหาคม 2569 ณ บริษัท แทร็กซ์ อินเตอร์เทรด จำกัด (สาขาชัยภูมิ) อำเภอจัตุรัส จังหวัดชัยภูมิ</t>
  </si>
  <si>
    <t>อว 0646.02/1471 ลงวันที่ 13 ส.ค 69</t>
  </si>
  <si>
    <t>บันทึกข้อความ เรื่อง ขออนุญาตเดินทางไปราชการ โดยอาจารย์ ดร.รัชวุธ  สุทธิ พร้อมคณะ เพื่อนิเทศนักศึกษาสหกิจศึกษา หลักสูตรวิศวกรรมศาสตรบัณฑิต สาขาวิชาวิศวกรรมอุตสาหรการและโลจิสติกส์ ในวันที่ 26 สิงหาคม 2569 ณ บริษัท ไฮ - เทค ชัยภูมิ แอพราเรล (2011) จำกัด อำเภอเมืองชัยภูมิ จังหวัดชัยภูมิ</t>
  </si>
  <si>
    <t xml:space="preserve">ค่านิเทศ ผศ.หทัยกาญจน์  ทองศรีสุข สาขาวิชาบริหารธุรกิจ วิชาเอกการจัดการ (ภาคกศ.ปช.)  รหัสวิชา 4004502 รายวิชาสหกิจศึกา 1 จำนวน 1 คน 2 ครั้ง และ  รหัสวิชา 4004503 รายวิชาสหกิจศึกจ 2 จำนวน 1 คน 2 ครั้งภาคเรียนที่ 1/2569 โครงการนิเทศฝึกประสบการวืชาชีพ ฯกิจกรรมที่ 1 </t>
  </si>
  <si>
    <t xml:space="preserve">ค่านิเทศ ผศ.หทัยกาญจน์  ทองศรีสุข สาขาวิชาบริหารธุรกิจ วิชาเอกการจัดการ (ภาคปกติ)  รหัสวิชา 4004502 รายวิชาสหกิจศึกา 1 จำนวน 6 คน 2 ครั้ง ภาคเรียนที่ 1/2569 โครงการนิเทศฝึกประสบการวืชาชีพ ฯกิจกรรมที่ 1 </t>
  </si>
  <si>
    <t>354/69</t>
  </si>
  <si>
    <t>353/69</t>
  </si>
  <si>
    <t>14 ส.ค. 69</t>
  </si>
  <si>
    <t xml:space="preserve">ค่านิเทศ อาจารย์ ดร.จันทร์จิรา  ตรีเพชร สาขาวิชาสหวิทยาการเพื่อการพัฒนาท้องถิ่น  รหัสวิชา 6022228 รายวิชาการสร้างเสริมประสบการณ์ชีวิตและงาน 3  จำนวน 6 คน 2 ครั้ง ภาคเรียนที่ 2/2568 โครงการนิเทศฝึกประสบการวืชาชีพ ฯกิจกรรมที่ 1 </t>
  </si>
  <si>
    <t>356/69</t>
  </si>
  <si>
    <t>17 ส.ค. 69</t>
  </si>
  <si>
    <t xml:space="preserve">ค่านิเทศ ผศ.ประภาศรี  ถนอมธรรม สาขาวิชาสหวิทยาการเพื่อการพัฒนาท้องถิ่น  รหัสวิชา 3052403 รายวิชาการสร้างเสริมประสบการณ์ชีวิตและงาน 3  จำนวน 2 คน 2 ครั้ง ภาคเรียนที่ 2/2568 โครงการนิเทศฝึกประสบการวืชาชีพ ฯกิจกรรมที่ 1 </t>
  </si>
  <si>
    <t>357/69</t>
  </si>
  <si>
    <t xml:space="preserve">ค่านิเทศ อ.สุภร  วรรณสิงห์ สาขาวิชาบริหารธุรกิจบัณฑิต วิชาเอกธุรกิจการค้าสมัยใหม่ รหัสวิชา 4042211  รายวิชาการเรียนรู้ฝึกปฎิบัติการจัดการธุรกิจการค้าสมัยใหม่ 7  จำนวน 4 คน 2 ครั้ง ภาคเรียนที่ 1/2569 โครงการนิเทศฝึกประสบการวืชาชีพ ฯกิจกรรมที่ 1 </t>
  </si>
  <si>
    <t>362/69</t>
  </si>
  <si>
    <t>18 ส.ค. 69</t>
  </si>
  <si>
    <t>ค่าใช้จ่ายโครงการรับการตรวจประเมินคุณภาพการศึกษาภายใน คณะศิลปศาสตร์และวิทยาศาสตร์ ประจำปีการศึกษา 2568  ระดับหลักสูตร จำนวน 2 หลักสูตร (หลักสูตรบริหารธุรกิจมหาบัณฑิต สาขาการจัดการธุรกิจและนวัตกรรม และหลักสูตรศิลปศาสตรบัณฑิต สาขาสหวิทยาการเพื่อการพัฒนาท้องถิ่น)  กิจกรรมที่ 1 ในวันที่ 25 พฤษภาคม  2569 ณ อาคารปฏิบัติการเทคโนโลยีออุตสาหกรรม มหาวิทยาลัยราชภัฏชัยภูมิ (ค่าตอบแทนกรรมการ) ผศ.ดร.อารีรัตน์  พัฒนชีวะพลู</t>
  </si>
  <si>
    <t>19 ส.ค. 69</t>
  </si>
  <si>
    <t>365/69</t>
  </si>
  <si>
    <t xml:space="preserve">ค่านิเทศ อ.ดร.วาสนา  เจริญวัย  สาขาวิชาบริหารธุรกิจบัณฑิต วิชาเอกธุรกิจการค้าสมัยใหม่ รหัสวิชา 4042211  รายวิชาการเรียนรู้ฝึกปฎิบัติการจัดการธุรกิจการค้าสมัยใหม่ 7  จำนวน 4 คน 2 ครั้ง ภาคเรียนที่ 1/2569 โครงการนิเทศฝึกประสบการวืชาชีพ ฯกิจกรรมที่ 1 </t>
  </si>
  <si>
    <t>371/69</t>
  </si>
  <si>
    <t>21 ส.ค. 69</t>
  </si>
  <si>
    <t>ยกเลิกเลขหมายเลข 358/69 ยอด 19,900 บาท วันที่ 21 ส.ค. 69 แก้ไขเป็น เอกสาร 372/69 และ 373/69</t>
  </si>
  <si>
    <t>21 ส.ค.69</t>
  </si>
  <si>
    <t>373/69</t>
  </si>
  <si>
    <t>372/69</t>
  </si>
  <si>
    <t xml:space="preserve">  ค่าใช้จ่ายโครงการพัฒนาศักยภาพและเสริมสร้างประสบการณ์การเรียนรู้เชิงนวัตกรรมหลักสูตรบริหารธุรกิจมหาบัณฑิต สาขาการจัดการธุรกิจและนวัตกรรม วันที่ 8 กรกฎาคม 2569 ณ มหาวิทยาลัยราชภัฏชัยภูมิ (ค่าตอบแทนวิทยากร/ค่าอาหารกลางวัน/ค่าอาหารว่าง) ผศ.ดร.สำเริง  ไกยวงค์</t>
  </si>
  <si>
    <t xml:space="preserve">  ค่าใช้จ่ายโครงการพัฒนาศักยภาพและเสริมสร้างประสบการณ์การเรียนรู้เชิงนวัตกรรมหลักสูตรบริหารธุรกิจมหาบัณฑิต สาขาการจัดการธุรกิจและนวัตกรรม กิจกรรมที่ 1 ในวันที่ 7  กรกฎาคม 2569 ณ สนามบินสุวรรณภูมิ   (ค่าเบี้ยงเลี้ยง/ค่าน้ำมันเชื้อเพลิง) ผศ.ดร.สำเริง  ไกยวงค์</t>
  </si>
  <si>
    <t>ค่าใช้จ่ายในการประชุมคณะกรรมการประจำคณะ ครั้งที่ 7/2569 ในวันที่  19 สิงหาคม  2569 ณ คณะศิลปศาสตร์และวิทยาศาสตร์ โครงการบริหารจัดการคณะสู่ความเป็นเลิศฯ กิจกรรมที่ 2  (ค่าเบี้ยประชุมคณะกรรมการ) นางมาลินี วาสสามัคคี</t>
  </si>
  <si>
    <t>24 ส.ค. 69</t>
  </si>
  <si>
    <t>377/69</t>
  </si>
  <si>
    <t>379/69</t>
  </si>
  <si>
    <t xml:space="preserve">ค่าใช้จ่ายโครงการพัฒนานักศึกษาบัณฑิตศึกษา เพื่อเสริมสร้างทักษะแห่งศตวรรษที่ 21 กลุ่มสาขาวิชาทางรัฐศาสตร์ กิจกรรมที่ 1 ในวันที่ 10 พฤษภาคม 2569 ณ ศูนย์ฝึกประสบการณ์วิชาชีพบริหารธุรกิจการท่องเที่ยวและโรงแรม PHUM RAJABHAT HILL ภูมิราชภัฏฮิลล์ มหาวิทยาลัยราชภัฏชัยภูมิ (ค่าตอบแทนวิทยากร/ค่าอาหารกลางวัน) ผศ.ดร.ณัฐดนัย  แก้วโพนงาม </t>
  </si>
  <si>
    <t>380/69</t>
  </si>
  <si>
    <t xml:space="preserve">ค่าใช้จ่ายโครงการพัฒนานักศึกษาบัณฑิตศึกษา เพื่อเสริมสร้างทักษะแห่งศตวรรษที่ 21 กลุ่มสาขาวิชาทางรัฐศาสตร์ กิจกรรมที่ 2 ในวันที่ 11 พฤษภาคม 2569 ณ ศูนย์ฝึกประสบการณ์วิชาชีพบริหารธุรกิจการท่องเที่ยวและโรงแรม PHUM RAJABHAT HILL ภูมิราชภัฏฮิลล์ มหาวิทยาลัยราชภัฏชัยภูมิ (ค่าตอบแทนวิทยากร/ค่าอาหารกลางวัน/ค่าอาหารว่าง) ผศ.ดร.ณัฐดนัย  แก้วโพนงาม </t>
  </si>
  <si>
    <t>ค่าตอบแทนอาจารย์ที่ปรึกษาการค้นคว้าอิสระ ระดับปริญญาโท  หลักสูตรบริหารธุรกิจมหาบัณฑิต สาขาวิชาการจัดการธุรกิจและนวัตกรรม จำนวน 2 คน  โครงการจัดการเรียนการสอนระดับปริญญาตรีและระดับบัณฑิตศึกษา คณะศิลปศาสตร์และวิทยาศาสตร์  กิจกรรมที่ 1(อาจารย์ ดร.รจนา  เมืองแสน)</t>
  </si>
  <si>
    <t>ค่าตอบแทนอาจารย์ที่ปรึกษาการค้นคว้าอิสระ ระดับปริญญาโท  หลักสูตรบริหารธุรกิจมหาบัณฑิต สาขาวิชาการจัดการธุรกิจและนวัตกรรม จำนวน 2 คน  โครงการจัดการเรียนการสอนระดับปริญญาตรีและระดับบัณฑิตศึกษา คณะศิลปศาสตร์และวิทยาศาสตร์  กิจกรรมที่ 1(ผศ.ดร.ทัศไนยวรรณ  ดวงมาลา)</t>
  </si>
  <si>
    <t>ค่าตอบแทนอาจารย์ที่ปรึกษาการค้นคว้าอิสระ ระดับปริญญาโท  หลักสูตรบริหารธุรกิจมหาบัณฑิต สาขาวิชาการจัดการธุรกิจและนวัตกรรม จำนวน 4 คน  โครงการจัดการเรียนการสอนระดับปริญญาตรีและระดับบัณฑิตศึกษา คณะศิลปศาสตร์และวิทยาศาสตร์  กิจกรรมที่ 1(อ.ดร.สำราญ  วานนท์)</t>
  </si>
  <si>
    <t>ค่าตอบแทนอาจารย์ที่ปรึกษาการค้นคว้าอิสระ ระดับปริญญาโท  หลักสูตรบริหารธุรกิจมหาบัณฑิต สาขาวิชาการจัดการธุรกิจและนวัตกรรม จำนวน 8 คน  โครงการจัดการเรียนการสอนระดับปริญญาตรีและระดับบัณฑิตศึกษา คณะศิลปศาสตร์และวิทยาศาสตร์  กิจกรรมที่ 1(ผศ.ดร.อัญชลี  ชัยศรี)</t>
  </si>
  <si>
    <t>ค่าตอบแทนอาจารย์ที่ปรึกษาการค้นคว้าอิสระ ระดับปริญญาโท  หลักสูตรบริหารธุรกิจมหาบัณฑิต สาขาวิชาการจัดการธุรกิจและนวัตกรรม จำนวน 9 คน  โครงการจัดการเรียนการสอนระดับปริญญาตรีและระดับบัณฑิตศึกษา คณะศิลปศาสตร์และวิทยาศาสตร์  กิจกรรมที่ 1(ผศ.ดร.สำเริง  ไกยวงค์)</t>
  </si>
  <si>
    <t>390/69</t>
  </si>
  <si>
    <t>391/69</t>
  </si>
  <si>
    <t>392/69</t>
  </si>
  <si>
    <t>393/69</t>
  </si>
  <si>
    <t>394/69</t>
  </si>
  <si>
    <t>25 ส.ค. 69</t>
  </si>
  <si>
    <t>ค่านิเทศ นางสาวปาริชาติ  ปากชำนิ  สาขาสาธารณสุขชุมชน  รหัสวิชา 1012316 รายวิชาการฝึกประสบการณ์วิชาชีพสาธารณสุข  จำนวน 19 คน 2 ครั้ง โครงการนิเทศฝึกประสบการวืชาชีพ ฯกิจกรรมที่ 1 ภาคเรียนที่ 1/2569</t>
  </si>
  <si>
    <t>ค่านิเทศ นางสาวศันสนีย์  แอมประชา  สาขาวิชาบริหารธุรกิจ รหัสวิชา4004502 รายวิชาสหกิจศึกษา 1  จำนวน 3 คน 2 ครั้ง โครงการนิเทศฝึกประสบการวืชาชีพ ฯกิจกรรมที่ 1 ภาคเรียนที่ 1/2569</t>
  </si>
  <si>
    <t>397/69</t>
  </si>
  <si>
    <t>398/69</t>
  </si>
  <si>
    <t>27 ส.ค. 69</t>
  </si>
  <si>
    <t>ค่านิเทศ นางสาวสุนันทา  สุภพล สาขาวิชาบริหารธุรกิจ รหัสวิชา4004502 รายวิชาสหกิจศึกษา 1  จำนวน 4 คน 2 ครั้ง โครงการนิเทศฝึกประสบการวืชาชีพ ฯกิจกรรมที่ 1 ภาคเรียนที่ 1/2569</t>
  </si>
  <si>
    <t>403/69</t>
  </si>
  <si>
    <t>29 ส.ค. 69</t>
  </si>
  <si>
    <t>404/69</t>
  </si>
  <si>
    <r>
      <t>ค่าตอบแทนการสอนระดับปริญญาตรี ภาคเรียนที่ 3/2568 ภาคการศึกษาเพื่อปวงชน (กศ.ปช) วิชาการจัดการเชิงกลยุทธ์ รหัสวิชา 4002111 โครงการจัดการเรียนการสอนระดับปริญญาตรีและระดับบัณฑิตศึกษาฯ  กิจกรรมที่ 5 จำนวน 4750 บาท และ</t>
    </r>
    <r>
      <rPr>
        <b/>
        <sz val="16"/>
        <rFont val="TH Sarabun New"/>
        <family val="2"/>
      </rPr>
      <t>กิจกรรมที่ 4  จำนวน 11,750 บาท ร</t>
    </r>
    <r>
      <rPr>
        <sz val="16"/>
        <rFont val="TH Sarabun New"/>
        <family val="2"/>
      </rPr>
      <t>วมทั้งสิน 16,500 บาท อาจารย์ ดร.รัศมีเพ็ญ  นาครินทร์</t>
    </r>
  </si>
  <si>
    <r>
      <t xml:space="preserve">ค่าตอบแทนการสอนระดับปริญญาตรี ภาคเรียนที่ 3/2568 ภาคการศึกษาเพื่อปวงชน (กศ.ปช) วิชาการจัดการเชิงกลยุทธ์ รหัสวิชา 4002111 โครงการจัดการเรียนการสอนระดับปริญญาตรีและระดับบัณฑิตศึกษาฯ </t>
    </r>
    <r>
      <rPr>
        <b/>
        <sz val="16"/>
        <rFont val="TH Sarabun New"/>
        <family val="2"/>
      </rPr>
      <t xml:space="preserve"> กิจกรรมที่ 5 จำนวน 4750 บาท </t>
    </r>
    <r>
      <rPr>
        <sz val="16"/>
        <rFont val="TH Sarabun New"/>
        <family val="2"/>
      </rPr>
      <t>และกิจกรรมที่ 4  จำนวน 11,750 บาท รวมทั้งสิน 16,500 บาท อาจารย์ ดร.รัศมีเพ็ญ  นาครินทร์</t>
    </r>
  </si>
  <si>
    <t>ขอใช้</t>
  </si>
  <si>
    <t>ใช้ไป</t>
  </si>
  <si>
    <t>เบิกกศ.ปช</t>
  </si>
  <si>
    <t>ค่าใช้จ่ายเดินทางไปราชการเพื่อนิเทศนักศึกษาสหกิจศึกษา หลักสูตรวิศวกรรมศาสตรบัณฑิต สาขาวิศวกรรมการผลิตและระบบอัตโนมัติ ณ บริษัท ทีม ซีเอฟ พรีซิชั่น จำกัด ตำบลบางตะไนย์ อำเภอปากเกร็ด จังหวัดนนทบุรี บริษัท เอฟเอ็มพี กรุ๊ป (ประเทศไทย)จำกัด ตำบลปลวกแดง อำเภอปลวกแดง จังหวัดระยอง และบริษํท พี.เจ ชลบุรี พาราวู้ด จำกัด ตำบลคลองกิ่ว อำเภอบ้านบึง จังหวัดชลบุรี ในระหวางวันที่ 26 - 28  สิงหาคม 2569 โครงการนิเทศนักศึกษาฝึกประสบการณ์วิชาชีพ หรือสหกิจศึกษา คณะศิลปศาสตร์และวิทยาศาสตร์ ประจำปีงบประมาณ 2569 กิจกรรมที่ 2  (ค่าที่พัก/ค่าเบี้ยเลี้ยง/ค่าน้ำมันเชื้อเพลิง) อาจารย์ชยารัก  ธานี ติขะกุล</t>
  </si>
  <si>
    <t>1 ก.ย. 69</t>
  </si>
  <si>
    <t>408/69</t>
  </si>
  <si>
    <t>ค่านิเทศ นางอนงค์วรรณ  ชิณศรี   สาขาวิชาบริหารธุรกิจ วิชาเอกการจัดการ รหัสวิชา 4004502 รายวิชาสหกิจศึกษา 1  จำนวน 6 คน 2 ครั้ง โครงการนิเทศฝึกประสบการวืชาชีพ ฯกิจกรรมที่ 1 ภาคเรียนที่ 1/2569</t>
  </si>
  <si>
    <t>412/69</t>
  </si>
  <si>
    <t>2 ก.ย. 69</t>
  </si>
  <si>
    <t>413/69</t>
  </si>
  <si>
    <t>ค่านิเทศ นางอนงค์วรรณ  ชิณศรี   สาขาวิชาบริหารธุรกิจ วิชาเอกการจัดการ รหัสวิชา 4012302 รายวิชาสหกิจศึกษา   จำนวน 2 คน 2 ครั้ง โครงการนิเทศฝึกประสบการวืชาชีพ ฯกิจกรรมที่ 1 ภาคเรียนที่ 1/2569</t>
  </si>
  <si>
    <t>ค่านิเทศ ผู้ช่วยศาสตราจารย์ ดร.ดวงใจ  วิชัย สาขาวิชาสาธารณสุขศาสตร์  รหัสวิชา1012316 รายวิชาการฝึกประสบการณ์วิชีพสาธารณสุข  จำนวน 6 คน 2 ครั้ง โครงการนิเทศฝึกประสบการวืชาชีพ ฯกิจกรรมที่ 1 ภาคเรียนที่ 1/2569</t>
  </si>
  <si>
    <t>414/69</t>
  </si>
  <si>
    <t>3 ก.ย. 69</t>
  </si>
  <si>
    <t>ค่าใช้จ่ายเดินทางไปราชการเพื่อนิเทศนักศึกษาสหกิจศึกษา หลักสูตรวิศวกรรมศาสตรบัณฑิต สาขาวิชาวิศวกรรมการผลิตและระบบอัตโนมัติ ในวันที่ 17 สิงหาคม 2569 ณ บริษัท เนเด็ด (ประเทศไทย) จำกัด ตำบลหนองระเวียง อำเภอเมืองนครราชสีมา จังหวัดนครราชสีมา (ค่าน้ำมันเชื้อเพลิง/ค่าเบี้ยเลี้ยง) อาจารย์ ดร.วิภารัตน์  นิสาภัย</t>
  </si>
  <si>
    <t>436/69</t>
  </si>
  <si>
    <t>ค่าใช้จ่ายเดินทางไปราชการ เพื่อนิเทศนักศึกษาสหกิจศึกษา หลักสูตรวิศวกรรมศาสตรบัณฑิต สาขาวิชาวิศวกรรมอุตสาหรการและโลจิสติกส์ ในวันที่ 24 สิงหาคม 2569 ณ บริษัท แทร็กซ์ อินเตอร์เทรด จำกัด (สาขาชัยภูมิ) อำเภอจัตุรัส จังหวัดชัยภูมิ โครงการนิเทศนักศึกษาฝึกประสบการณ์วิชาชีพ หรือสหกิจศึกษา คณะศิลปศาสตร์และวิทยาศาสตร์ ประจำปีงบประมาณ 2569 กิจกรรมที่ 2  (ค่าเบี้ยเลี้ยง/ค่าน้ำมันเชื้อเพลิง) อาจารย์กมลรักษ์  แก้งคำ</t>
  </si>
  <si>
    <t>3ก.ย. 69</t>
  </si>
  <si>
    <t>452/69</t>
  </si>
  <si>
    <t>ค่าใช้จ่ายเดินทางไปราชการเพื่อนิเทศนักศึกษาสหกิจศึกษา หลักสูตรวิศวกรรมศาสตรบัณฑิต สาขาวิชาวิศวกรรมอุตสาหการและโลจิสติกส์ ในวันที่ 26 สิงหาคม 2569 ณ บริษัท ไฮ - เทค ชัยภูมิ แอพราเรล (2011) จำกัด อำเภอเมืองชัยภูมิ จังหวัดชัยภูมิ โครงการนิเทศนักศึกษาฝึกประสบการณ์วิชาชีพ หรือสหกิจศึกษา คณะศิลปศาสตร์และวิทยาศาสตร์ ประจำปีงบประมาณ 2569 กิจกรรมที่ 2  (ค่าน้ำมันเชื้อเพลิง) อาจารย์วราภรณ์  จันทร์เวียง</t>
  </si>
  <si>
    <t>453/69</t>
  </si>
  <si>
    <t>454/69</t>
  </si>
  <si>
    <t>ค่าใช้จ่ายเดินทางไปราชการ  เพื่อนิเทศนักศึกษาสหกิจศึกษา หลักสูตรวิศวกรรมศาสตรบัณฑิต สาขาวิชาวิศวกรรมอุตสาหรการและโลจิสติกส์ ในวันที่ 18 - 20 สิงหาคม 2569 ในพื้นที่จังหวัดสมุทรปราการ และจังหวัดชลบุรีโครงการนิเทศนักศึกษาฝึกประสบการณ์วิชาชีพ หรือสหกิจศึกษา คณะศิลปศาสตร์และวิทยาศาสตร์ ประจำปีงบประมาณ 2569 กิจกรรมที่ 2  (ค่าน้ำมันเชื้อเพลิง/ค่าที่พัก/ค่าเบี้ยเลี้ยง) อาจารย์วราภรณ์  จันทร์เวียง</t>
  </si>
  <si>
    <t>ค่าใช้จ่ายโครงการรับการตรวจประเมินคุณภาพการศึกษาภายใน คณะศิลปศาสตร์และวิทยาศาสตร์ ประจำปีการศึกษา 2568กิจกรรมที่ 2 วันที่ 14 สิงหาคม 2569 ณ ห้อง Smart Classroom ชั้น 1 อาคารคณะศิลปศาสตร์และวิทยาศาสตร์ (ค่าตอบแทนวิทยากร) อาจารย์ ดร.สิริพร  ขันทองคำ</t>
  </si>
  <si>
    <t>455/69</t>
  </si>
  <si>
    <t>ค่านิเทศ นางสาวรจนา  เมืองแสน สาขาวิชาบริหารธุรกิจ วิชาเอกธุรกิจดิจิทัล รหัสวิชา 4004502 รายวิชาสหกิจศึกษา 1  จำนวน 4 คน 2 ครั้ง โครงการนิเทศฝึกประสบการวืชาชีพ ฯกิจกรรมที่ 1 ภาคเรียนที่ 1/2569</t>
  </si>
  <si>
    <t>499/69</t>
  </si>
  <si>
    <t>6 ก.ย. 69</t>
  </si>
  <si>
    <t>500/69</t>
  </si>
  <si>
    <t>8 ก.ย. 69</t>
  </si>
  <si>
    <t>ค่านิเทศ อาจารย์ ดร.เสกศักดิ์  ปราบพาลา สาขาวิชาบริหารธุรกิจ วิชาเอกธุรกิจดิจิทัล รหัสวิชา 4004502 รายวิชาสหกิจศึกษา 1  จำนวน 3 คน 2 ครั้ง โครงการนิเทศฝึกประสบการวืชาชีพ ฯกิจกรรมที่ 1 ภาคเรียนที่ 1/2569</t>
  </si>
  <si>
    <t>501/69</t>
  </si>
  <si>
    <t>ค่านิเทศ อาจารย์ ดร.สามารถ   สินทร สาขาวิชาวิทยาการคอมพิวเตอร์รหัสวิชา 1138041 รายวิชาการฝึกงานคอมพิวเตอร์  จำนวน 3 คน 2 ครั้ง โครงการนิเทศฝึกประสบการวืชาชีพ ฯกิจกรรมที่ 1 ภาคเรียนที่ 2/2568</t>
  </si>
  <si>
    <t>502/69</t>
  </si>
  <si>
    <t>ค่านิเทศ นางสาวสุวิตรา  สร้างนา  สาขาวิชาสาธารณสุขศาสตร์ รหัสวิชา 1012316 รายวิชาการฝึกประสบการณ์วิชาชีพสาธารณสุข  จำนวน 10 คน 2 ครั้ง โครงการนิเทศฝึกประสบการวืชาชีพ ฯกิจกรรมที่ 1 ภาคเรียนที่1/2569</t>
  </si>
  <si>
    <t>503/69</t>
  </si>
  <si>
    <t>11 ก.ย. 69</t>
  </si>
  <si>
    <t>ค่านิเทศ นางสาวศศิธร  ถีสูงเนิน  สาขาวิชานิติศาสตร์ รหัสวิชา 3042302 รายวิชาการฝึกประสบการณ์วิชาชีพ จำนวน 6 คน 2 ครั้ง โครงการนิเทศฝึกประสบการวืชาชีพ ฯกิจกรรมที่ 1 ภาคเรียนที่1/2569</t>
  </si>
  <si>
    <t>504/69</t>
  </si>
  <si>
    <t>ค่านิเทศ อาจารย์ ดร.รัศมีเพ็ญ  นาครินทร์ สาขาวิชาบริหารธุรกิจ วิชาเอกดิจิทัล รหัสวิชา 4004502รายวิชาการฝึกประสบการณ์วิชาชีพ จำนวน 3 คน 2 ครั้ง โครงการนิเทศฝึกประสบการวืชาชีพ ฯกิจกรรมที่ 1 ภาคเรียนที่1/2569</t>
  </si>
  <si>
    <t>505/69</t>
  </si>
  <si>
    <t>ค่านิเทศ ผศ ไศลโสภิน  ภิรมย์ไกรภักดิ์  สาขาวิชานิติศาสตร์ รหัสวิชา 3042302 รายวิชาการฝึกประสบการณ์วิชาชีพกฎหมาย จำนวน 3 คน 2 ครั้ง โครงการนิเทศฝึกประสบการวืชาชีพ ฯกิจกรรมที่ 1 ภาคเรียนที่1/2569</t>
  </si>
  <si>
    <t>กันเงินค่านิเทศ เทอม 1/2569  จำนวน 33,600 บาท</t>
  </si>
  <si>
    <t>506/69</t>
  </si>
  <si>
    <t>507/69</t>
  </si>
  <si>
    <t>508/69</t>
  </si>
  <si>
    <t>509/69</t>
  </si>
  <si>
    <t>510/69</t>
  </si>
  <si>
    <t>511/69</t>
  </si>
  <si>
    <t>512/69</t>
  </si>
  <si>
    <t>513/69</t>
  </si>
  <si>
    <t>514/69</t>
  </si>
  <si>
    <t>ค่าตอบแทนคณะกรรมการการสอบโครงร่างวิทยานิพนธ์ ระดับปริญญาโท  หลักสูตรบริหารธุรกิจมหาบัณฑิต สาขาวิชาการจัดการธุรกิจและนวัตกรรม วันที่ 29 สิงหาคม 2569 โครงการจัดการเรียนการสอนระดับปริญญาตรีและระดับบัณฑิตศึกษา คณะศิลปศาสตร์และวิทยาศาสตร์  กิจกรรมที่ 1(อาจารย์ ดร.สำราญ  วานนท์)</t>
  </si>
  <si>
    <t>ค่าตอบแทนคณะกรรมการการสอบค้นคว้าอิสระ ระดับปริญญาโท  หลักสูตรบริหารธุรกิจมหาบัณฑิต สาขาวิชาการจัดการธุรกิจและนวัตกรรม วันที่ 29 สิงหาคม 2569 โครงการจัดการเรียนการสอนระดับปริญญาตรีและระดับบัณฑิตศึกษา คณะศิลปศาสตร์และวิทยาศาสตร์  กิจกรรมที่ 1(ผศ.ดร.อัญชลี  ชัยศรี)</t>
  </si>
  <si>
    <t>ค่าตอบแทนการสอบค้นคว้าอิสระ ระดับปริญญาโท  หลักสูตรบริหารธุรกิจมหาบัณฑิต สาขาวิชาการจัดการธุรกิจและนวัตกรรม วันที่ 13 สิงหาคม 2569 โครงการจัดการเรียนการสอนระดับปริญญาตรีและระดับบัณฑิตศึกษา คณะศิลปศาสตร์และวิทยาศาสตร์  กิจกรรมที่ 1(ผศ.ดร.อัญชลี  ชัยศรี)</t>
  </si>
  <si>
    <t>ค่าตอบแทนการสอบค้นคว้าอิสระ ระดับปริญญาโท  หลักสูตรบริหารธุรกิจมหาบัณฑิต สาขาวิชาการจัดการธุรกิจและนวัตกรรม วันที่ 14 สิงหาคม 2569 โครงการจัดการเรียนการสอนระดับปริญญาตรีและระดับบัณฑิตศึกษา คณะศิลปศาสตร์และวิทยาศาสตร์  กิจกรรมที่ 1(ผศ.ดร.อัญชลี  ชัยศรี)</t>
  </si>
  <si>
    <t>ค่าตอบแทนการสอบค้นคว้าอิสระ ระดับปริญญาโท  หลักสูตรบริหารธุรกิจมหาบัณฑิต สาขาวิชาการจัดการธุรกิจและนวัตกรรม วันที่ 7สิงหาคม 2569 โครงการจัดการเรียนการสอนระดับปริญญาตรีและระดับบัณฑิตศึกษา คณะศิลปศาสตร์และวิทยาศาสตร์  กิจกรรมที่ 1(ผศ.ดร.สำเริง  ไกยวงค์)</t>
  </si>
  <si>
    <t>ค่าตอบแทนการสอบค้นคว้าอิสระ ระดับปริญญาโท  หลักสูตรบริหารธุรกิจมหาบัณฑิต สาขาวิชาการจัดการธุรกิจและนวัตกรรม วันที่ 15 สิงหาคม 2569 โครงการจัดการเรียนการสอนระดับปริญญาตรีและระดับบัณฑิตศึกษา คณะศิลปศาสตร์และวิทยาศาสตร์  กิจกรรมที่ 1(ผศ.ดร.สำเริง  ไกยวงค์)</t>
  </si>
  <si>
    <t>ค่าตอบแทนการสอบค้นคว้าอิสระ ระดับปริญญาโท  หลักสูตรบริหารธุรกิจมหาบัณฑิต สาขาวิชาการจัดการธุรกิจและนวัตกรรม วันที่ 14 สิงหาคม 2569 โครงการจัดการเรียนการสอนระดับปริญญาตรีและระดับบัณฑิตศึกษา คณะศิลปศาสตร์และวิทยาศาสตร์  กิจกรรมที่ 1(ผศ.ดร.ทัศไนยวรรณ  ดวงมาลา)</t>
  </si>
  <si>
    <t>ค่าตอบแทนการสอบค้นคว้าอิสระ ระดับปริญญาโท  หลักสูตรบริหารธุรกิจมหาบัณฑิต สาขาวิชาการจัดการธุรกิจและนวัตกรรม วันที่ 18 สิงหาคม 2569 โครงการจัดการเรียนการสอนระดับปริญญาตรีและระดับบัณฑิตศึกษา คณะศิลปศาสตร์และวิทยาศาสตร์  กิจกรรมที่ 1(อาจารย์ ดร.รจนา  เมืองแสน)</t>
  </si>
  <si>
    <t>ค่าตอบแทนการสอบค้นคว้าอิสระ ระดับปริญญาโท  หลักสูตรบริหารธุรกิจมหาบัณฑิต สาขาวิชาการจัดการธุรกิจและนวัตกรรม วันที่ 19 สิงหาคม 2569 โครงการจัดการเรียนการสอนระดับปริญญาตรีและระดับบัณฑิตศึกษา คณะศิลปศาสตร์และวิทยาศาสตร์  กิจกรรมที่ 1(อาจารย์ ดร.สำราญ  วานนท์)</t>
  </si>
  <si>
    <t>กันเงินค่าตอบแทนการสอน จำนวน 374,500 บาท</t>
  </si>
  <si>
    <t>เงินกัน</t>
  </si>
  <si>
    <t>กันเงินค่าตอบแทนการสอน จำนวน 43,000 บาท</t>
  </si>
  <si>
    <t>กันเงินค่าตอบแทนการสอน จำนวน 45,450 บาท</t>
  </si>
  <si>
    <t>กันเงินค่าตอบแทนการสอน จำนวน 60,000 บาท</t>
  </si>
  <si>
    <t>กันเงินค่าค่าสอนปริญญาตรี  จำนวน 66,000 บาท</t>
  </si>
  <si>
    <t>ค่าตอบแทนการอาจารย์ที่ปรึกษา ระดับปริญญาโท  หลักสูตรรัฐประศาสนศาสตร์มหาบัณฑิต สาขาวิชารัฐประศาสนศาสตร์ วันที่  โครงการจัดการเรียนการสอนระดับปริญญาตรีและระดับบัณฑิตศึกษา คณะศิลปศาสตร์และวิทยาศาสตร์  กิจกรรมที่ 2 (รศ.ดร.พิทักษ์พงศ์  กางการ)</t>
  </si>
  <si>
    <t>ค่าตอบแทนการอาจารย์ที่ปรึกษา ระดับปริญญาโท  หลักสูตรรัฐประศาสนศาสตร์มหาบัณฑิต สาขาวิชารัฐประศาสนศาสตร์ จำนวน 9 เรื่อง โครงการจัดการเรียนการสอนระดับปริญญาตรีและระดับบัณฑิตศึกษา คณะศิลปศาสตร์และวิทยาศาสตร์  กิจกรรมที่ 2 (รศ.ดร.สมปอง  สุวรรณภูมา)</t>
  </si>
  <si>
    <t>515/69</t>
  </si>
  <si>
    <t>516/69</t>
  </si>
  <si>
    <t>4 ก.ย. 69</t>
  </si>
  <si>
    <t>ค่าตอบแทนการสอบโครงร่างวิทยานิพนธ์ ระดับปริญญาเอก  หลักสูตรรัฐศาสตร์ดุษฎีบัณฑิต สาขาวิชารัฐศาสตร์ วันที่ 15 กรกฎาคม 2569 โครงการจัดการเรียนการสอนระดับปริญญาตรีและระดับบัณฑิตศึกษา คณะศิลปศาสตร์และวิทยาศาสตร์  กิจกรรมที่ 4 (อาจารย์ ดร.ธรรมรัตน์  โพธิสุวรรณปัญญา)</t>
  </si>
  <si>
    <t>ค่าตอบแทนการอาจารย์ที่ปรึกษา ระดับปริญญาโท  หลักสูตรรัฐศาสตร์มหาบัณฑิต สาขาวิชารัฐศาสตร์ จำนวน 2 เรื่อง โครงการจัดการเรียนการสอนระดับปริญญาตรีและระดับบัณฑิตศึกษา คณะศิลปศาสตร์และวิทยาศาสตร์  กิจกรรมที่ 3 (อาจารย์ ดร.ชูเกียรติ  ผลาผล)</t>
  </si>
  <si>
    <t>ค่าตอบแทนการอาจารย์ที่ปรึกษา ระดับปริญญาโท  หลักสูตรรัฐศาสตร์มหาบัณฑิต สาขาวิชารัฐศาสตร์ จำนวน 2 เรื่อง โครงการจัดการเรียนการสอนระดับปริญญาตรีและระดับบัณฑิตศึกษา คณะศิลปศาสตร์และวิทยาศาสตร์  กิจกรรมที่ 3 (อาจารย์ ดร.ธรรมรัตน์  โพธิสุวรรณปัญญา)</t>
  </si>
  <si>
    <t>14 ก.ย.69</t>
  </si>
  <si>
    <t>519/69</t>
  </si>
  <si>
    <t>ค่าตอบแทนการอาจารย์ที่ปรึกษา ระดับปริญญาโท  หลักสูตรรัฐศาสตร์มหาบัณฑิต สาขาวิชารัฐศาสตร์ จำนวน 3 เรื่อง โครงการจัดการเรียนการสอนระดับปริญญาตรีและระดับบัณฑิตศึกษา คณะศิลปศาสตร์และวิทยาศาสตร์  กิจกรรมที่ 3 (ผศ.ว่าที่พันตรี ดร.ณัฐดนัย  แก้วโนงาม)</t>
  </si>
  <si>
    <t>521/69</t>
  </si>
  <si>
    <t>520/69</t>
  </si>
  <si>
    <t>14 ก.ย. 69</t>
  </si>
  <si>
    <t>517/69</t>
  </si>
  <si>
    <t>518/69</t>
  </si>
  <si>
    <t>ค่าตอบแทนการสอบวิทยานิพนธ์ ระดับปริญญาเอก  หลักสูตรรัฐศาสตร์ดุษฎีบัณฑิต สาขาวิชารัฐศาสตร์ วันที่ 20 กรกฎาคม 2569 โครงการจัดการเรียนการสอนระดับปริญญาตรีและระดับบัณฑิตศึกษา คณะศิลปศาสตร์และวิทยาศาสตร์  กิจกรรมที่ 4  (ผศ.ว่าที่พันตรี ดร.ณัฐดนัย  แก้วโนงาม)</t>
  </si>
  <si>
    <t>ค่าตอบแทนการอาจารย์ที่ปรึกษาวิทยานิพนธ์หลัก ระดับปริญญาเอก หลักสูตรรัฐศาสตร์ดุษฎีบัณฑิต สาขาวิชารัฐศาสตร์ จำนวน 1 เรื่อง โครงการจัดการเรียนการสอนระดับปริญญาตรีและระดับบัณฑิตศึกษา คณะศิลปศาสตร์และวิทยาศาสตร์  กิจกรรมที่ 4 (อาจารย์ ดร.ชูเกียรติ  ผลาผล)</t>
  </si>
  <si>
    <t>ค่าตอบแทนการอาจารย์ที่ปรึกษาวิทยานิพนธ์ร่วม ระดับปริญญาเอก หลักสูตรรัฐศาสตร์ดุษฎีบัณฑิต สาขาวิชารัฐศาสตร์ จำนวน 1 เรื่อง โครงการจัดการเรียนการสอนระดับปริญญาตรีและระดับบัณฑิตศึกษา คณะศิลปศาสตร์และวิทยาศาสตร์  กิจกรรมที่ 4 (อาจารย์ ดร.ชูเกียรติ  ผลาผล)</t>
  </si>
  <si>
    <t>ค่าตอบแทนการอาจารย์ที่ปรึกษาวิทยานิพนธ์ร่วม ระดับปริญญาเอก หลักสูตรรัฐศาสตร์ดุษฎีบัณฑิต สาขาวิชารัฐศาสตร์ จำนวน 1 เรื่อง โครงการจัดการเรียนการสอนระดับปริญญาตรีและระดับบัณฑิตศึกษา คณะศิลปศาสตร์และวิทยาศาสตร์  กิจกรรมที่ 4 (ผศ.ว่าที่พันตรี ดร.ณัฐดนัย  แก้วโนงาม)</t>
  </si>
  <si>
    <t>522/69</t>
  </si>
  <si>
    <t>523/69</t>
  </si>
  <si>
    <t>524/69</t>
  </si>
  <si>
    <t>ค่าตอบแทนการอาจารย์ที่ปรึกษาวิทยานิพนธ์หลัก ระดับปริญญาเอก หลักสูตรรัฐศาสตร์ดุษฎีบัณฑิต สาขาวิชารัฐศาสตร์ จำนวน 1 เรื่อง โครงการจัดการเรียนการสอนระดับปริญญาตรีและระดับบัณฑิตศึกษา คณะศิลปศาสตร์และวิทยาศาสตร์  กิจกรรมที่ 4 (ผศ.ว่าที่พันตรี ดร.ณัฐดนัย  แก้วโนงาม)</t>
  </si>
  <si>
    <t>525/69</t>
  </si>
  <si>
    <t>ค่าตอบแทนคณะกรรมการสอบค้นคว้าอิสระ ระดับปริญญาโท หลักสูตรบริหารธุรกิจมหาบัณฑิต สาขาวิชาการจัดการธรุกิจและนวัตกรรม วันที่ 29 สิงหาคม 2569 โครงการจัดการเรียนการสอนระดับปริญญาตรีและระดับบัณฑิตศึกษา คณะศิลปศาสตร์และวิทยาศาสตร์  กิจกรรมที่ 1 (ผศ.ดร.อัญชลี  ชัยศรี)</t>
  </si>
  <si>
    <t>ค่าตอบแทนการสอบวิทยานิพนธ์  ระดับปริญญาโท หลักสูตรบริหารธุรกิจมหาบัณฑิต สาขาวิชาการจัดการธรุกิจและนวัตกรรม วันที่ 5 กันยายน 2569 โครงการจัดการเรียนการสอนระดับปริญญาตรีและระดับบัณฑิตศึกษา คณะศิลปศาสตร์และวิทยาศาสตร์  กิจกรรมที่ 1 (ผศ.ดร.สำเริง  ไกยวงค์)</t>
  </si>
  <si>
    <t>15 ก.ย. 69</t>
  </si>
  <si>
    <t>526/69</t>
  </si>
  <si>
    <t>527/69</t>
  </si>
  <si>
    <t>ค่าตอบแทนการอาจารย์ที่ปรึกษา ระดับปริญญาโท  หลักสูตรรัฐประศาสนศาสตร์มหาบัณฑิต สาขาวิชารัฐประศาสนศาสตร์ จำนวน 9 เรื่อง โครงการจัดการเรียนการสอนระดับปริญญาตรีและระดับบัณฑิตศึกษา คณะศิลปศาสตร์และวิทยาศาสตร์  กิจกรรมที่ 2 (ผศ.ดร.ธิติรัตน์  เหล่าพฤฒาจารย์)</t>
  </si>
  <si>
    <t>15 ก.ย .69</t>
  </si>
  <si>
    <t>528/69</t>
  </si>
  <si>
    <t>529/69</t>
  </si>
  <si>
    <t>ค่าใช้จ่ายโครงการรับการตรวจประเมินคุณภาพการศึกษาภายใน คณะศิลปศาสตร์และวิทยาศาสตร์ ประจำปีการศึกษา 2568 วันที่ 14 กันยายน 2569 ณ ห้อง Smart classroom ชั้น 1 คณะศิลปศาสตร์และวิทยาศาสตร์ (ค่าตอบแทนวิทยากร/ค่าอาหารว่าง/ค่าอาหารกลางวัน/ค่าน้ำมันเชื้อเพลิง) นางมาลินี  วาสสามัคคี</t>
  </si>
  <si>
    <t xml:space="preserve"> ร-752/69</t>
  </si>
  <si>
    <t>ค่าวัสดุ จำนวน 21 รายการ</t>
  </si>
  <si>
    <t>ค่าสำเนาเอกสาร คู่มือฝึกประสบการณ์วิชาชีพสาธารณสุข จำนวน 60 เล่ม</t>
  </si>
  <si>
    <t>ร-734/69</t>
  </si>
  <si>
    <t xml:space="preserve">กิจกรรมที่ 1 </t>
  </si>
  <si>
    <t>กิจกรรมที่ 2</t>
  </si>
  <si>
    <t>15 ก.ย.69</t>
  </si>
  <si>
    <t>จัดซื้อวัสดุ จำนวน 6 รายการ โครงการพัฒนาทักษะการเรียนรู้ของผู้เรียนในศตวรรษที่ 21 โดยหลักนิติรัฐสำหรับชุมชน กิจกรรมที่ 1 (หจก.เมเจอร์คอม (2547)) อ.ดร.ณัฐปราย์  ชัยสินคุณานนต์</t>
  </si>
  <si>
    <t>530/69</t>
  </si>
  <si>
    <t>531/69</t>
  </si>
  <si>
    <t>จัดซื้อวัสดุกิจกรรมที่ 1 จำนวน 3 รายการ จำนวน 160,000 บาท  กิจกรรมที่ 2 จำนวน 3 รายการ จำนวน 52,000 บาท โครงการนิเทศนักศึกษาฝึกประสบการณ์วิชาชีพ หรือสหกิจศึกษา คณะศิลปศาสตร์และวิทยาศาสตร์ ประจำปีงบประมาณ 2569 (อัญชรี  ยูทิลิตี้) อาจารย์ ดร.รัชวุธ  สุทธิ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</si>
</sst>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-* #,##0.00_-;\-* #,##0.00_-;_-* &quot;-&quot;??_-;_-@_-"/>
  </numFmts>
  <fonts count="2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6"/>
      <color theme="1"/>
      <name val="TH SarabunPSK"/>
      <family val="2"/>
    </font>
    <font>
      <b/>
      <sz val="16"/>
      <name val="TH SarabunPSK"/>
      <family val="2"/>
    </font>
    <font>
      <u/>
      <sz val="11"/>
      <color theme="10"/>
      <name val="Calibri"/>
      <family val="2"/>
      <charset val="222"/>
      <scheme val="minor"/>
    </font>
    <font>
      <b/>
      <sz val="16"/>
      <color theme="1"/>
      <name val="TH SarabunPSK"/>
      <family val="2"/>
    </font>
    <font>
      <b/>
      <sz val="18"/>
      <color theme="1"/>
      <name val="TH SarabunPSK"/>
      <family val="2"/>
    </font>
    <font>
      <sz val="16"/>
      <color rgb="FF000000"/>
      <name val="TH SarabunPSK"/>
      <family val="2"/>
    </font>
    <font>
      <sz val="16"/>
      <name val="TH Sarabun New"/>
      <family val="2"/>
    </font>
    <font>
      <b/>
      <sz val="16"/>
      <name val="TH Sarabun New"/>
      <family val="2"/>
    </font>
    <font>
      <sz val="16"/>
      <color theme="1"/>
      <name val="TH Sarabun New"/>
      <family val="2"/>
    </font>
    <font>
      <b/>
      <sz val="14"/>
      <name val="TH Sarabun New"/>
      <family val="2"/>
    </font>
    <font>
      <sz val="14"/>
      <name val="TH Sarabun New"/>
      <family val="2"/>
    </font>
    <font>
      <sz val="11"/>
      <color theme="1"/>
      <name val="TH Sarabun New"/>
      <family val="2"/>
    </font>
    <font>
      <u/>
      <sz val="16"/>
      <color theme="10"/>
      <name val="TH Sarabun New"/>
      <family val="2"/>
    </font>
    <font>
      <sz val="16"/>
      <color rgb="FF000000"/>
      <name val="TH Sarabun New"/>
      <family val="2"/>
    </font>
    <font>
      <b/>
      <sz val="16"/>
      <color theme="1"/>
      <name val="TH Sarabun New"/>
      <family val="2"/>
    </font>
    <font>
      <b/>
      <sz val="18"/>
      <color theme="1"/>
      <name val="TH Sarabun New"/>
      <family val="2"/>
    </font>
    <font>
      <b/>
      <sz val="18"/>
      <name val="TH Sarabun New"/>
      <family val="2"/>
    </font>
    <font>
      <b/>
      <sz val="14"/>
      <color theme="1"/>
      <name val="TH Sarabun New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4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64" fontId="2" fillId="0" borderId="0" xfId="1" applyFont="1"/>
    <xf numFmtId="0" fontId="3" fillId="0" borderId="1" xfId="0" applyFont="1" applyBorder="1" applyAlignment="1">
      <alignment horizontal="center" vertical="center"/>
    </xf>
    <xf numFmtId="0" fontId="4" fillId="0" borderId="0" xfId="2"/>
    <xf numFmtId="164" fontId="3" fillId="0" borderId="1" xfId="0" applyNumberFormat="1" applyFont="1" applyBorder="1"/>
    <xf numFmtId="0" fontId="7" fillId="0" borderId="0" xfId="0" applyFont="1"/>
    <xf numFmtId="0" fontId="6" fillId="0" borderId="0" xfId="0" applyFont="1" applyBorder="1" applyAlignment="1">
      <alignment horizontal="center" vertical="center"/>
    </xf>
    <xf numFmtId="0" fontId="4" fillId="0" borderId="0" xfId="2" quotePrefix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164" fontId="8" fillId="0" borderId="1" xfId="0" applyNumberFormat="1" applyFont="1" applyBorder="1"/>
    <xf numFmtId="0" fontId="8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wrapText="1"/>
    </xf>
    <xf numFmtId="0" fontId="9" fillId="0" borderId="0" xfId="0" applyFont="1" applyAlignment="1"/>
    <xf numFmtId="0" fontId="9" fillId="0" borderId="0" xfId="0" applyFont="1"/>
    <xf numFmtId="0" fontId="8" fillId="0" borderId="0" xfId="0" applyFont="1"/>
    <xf numFmtId="164" fontId="8" fillId="0" borderId="0" xfId="1" applyFont="1"/>
    <xf numFmtId="0" fontId="10" fillId="0" borderId="0" xfId="0" applyFont="1"/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64" fontId="9" fillId="0" borderId="1" xfId="1" applyFont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4" fillId="0" borderId="0" xfId="2" applyFont="1" applyBorder="1"/>
    <xf numFmtId="0" fontId="14" fillId="0" borderId="0" xfId="2" applyFont="1" applyBorder="1" applyAlignment="1">
      <alignment vertical="top"/>
    </xf>
    <xf numFmtId="0" fontId="16" fillId="0" borderId="1" xfId="0" applyFont="1" applyBorder="1" applyAlignment="1">
      <alignment horizontal="center" vertical="center"/>
    </xf>
    <xf numFmtId="164" fontId="16" fillId="0" borderId="1" xfId="1" applyFont="1" applyBorder="1" applyAlignment="1">
      <alignment horizontal="center" vertical="center"/>
    </xf>
    <xf numFmtId="0" fontId="14" fillId="0" borderId="1" xfId="2" applyFont="1" applyFill="1" applyBorder="1" applyAlignment="1">
      <alignment horizontal="center"/>
    </xf>
    <xf numFmtId="0" fontId="9" fillId="0" borderId="1" xfId="0" applyFont="1" applyBorder="1" applyAlignment="1">
      <alignment horizontal="left" wrapText="1"/>
    </xf>
    <xf numFmtId="164" fontId="16" fillId="0" borderId="1" xfId="1" applyFont="1" applyFill="1" applyBorder="1"/>
    <xf numFmtId="0" fontId="14" fillId="0" borderId="1" xfId="2" applyFont="1" applyFill="1" applyBorder="1" applyAlignment="1">
      <alignment horizontal="center" vertical="top"/>
    </xf>
    <xf numFmtId="164" fontId="10" fillId="0" borderId="1" xfId="1" applyFont="1" applyFill="1" applyBorder="1"/>
    <xf numFmtId="0" fontId="8" fillId="0" borderId="1" xfId="0" applyFont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7" fillId="0" borderId="0" xfId="0" applyFont="1" applyBorder="1" applyAlignment="1">
      <alignment horizontal="center" vertical="center"/>
    </xf>
    <xf numFmtId="164" fontId="9" fillId="0" borderId="1" xfId="0" applyNumberFormat="1" applyFont="1" applyBorder="1"/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center"/>
    </xf>
    <xf numFmtId="164" fontId="10" fillId="0" borderId="0" xfId="1" applyFont="1"/>
    <xf numFmtId="0" fontId="17" fillId="0" borderId="4" xfId="0" applyFont="1" applyBorder="1" applyAlignment="1">
      <alignment vertical="center"/>
    </xf>
    <xf numFmtId="0" fontId="17" fillId="0" borderId="4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6" fillId="0" borderId="0" xfId="0" applyFont="1"/>
    <xf numFmtId="0" fontId="8" fillId="0" borderId="1" xfId="0" applyFont="1" applyFill="1" applyBorder="1" applyAlignment="1">
      <alignment horizontal="center"/>
    </xf>
    <xf numFmtId="164" fontId="8" fillId="0" borderId="1" xfId="1" applyFont="1" applyFill="1" applyBorder="1"/>
    <xf numFmtId="2" fontId="8" fillId="0" borderId="1" xfId="0" applyNumberFormat="1" applyFont="1" applyFill="1" applyBorder="1"/>
    <xf numFmtId="0" fontId="8" fillId="0" borderId="1" xfId="0" applyFont="1" applyFill="1" applyBorder="1" applyAlignment="1">
      <alignment wrapText="1"/>
    </xf>
    <xf numFmtId="164" fontId="9" fillId="0" borderId="1" xfId="1" applyFont="1" applyFill="1" applyBorder="1"/>
    <xf numFmtId="2" fontId="9" fillId="0" borderId="1" xfId="0" applyNumberFormat="1" applyFont="1" applyFill="1" applyBorder="1"/>
    <xf numFmtId="43" fontId="13" fillId="0" borderId="0" xfId="0" applyNumberFormat="1" applyFont="1"/>
    <xf numFmtId="0" fontId="17" fillId="0" borderId="0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43" fontId="17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43" fontId="10" fillId="0" borderId="0" xfId="0" applyNumberFormat="1" applyFont="1"/>
    <xf numFmtId="0" fontId="4" fillId="0" borderId="1" xfId="2" applyFill="1" applyBorder="1" applyAlignment="1">
      <alignment horizontal="center" vertical="top"/>
    </xf>
    <xf numFmtId="0" fontId="8" fillId="0" borderId="1" xfId="0" applyFont="1" applyFill="1" applyBorder="1" applyAlignment="1">
      <alignment vertical="top" wrapText="1"/>
    </xf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 vertical="top" wrapText="1"/>
    </xf>
    <xf numFmtId="0" fontId="4" fillId="0" borderId="2" xfId="2" applyFill="1" applyBorder="1" applyAlignment="1">
      <alignment horizontal="center" vertical="top"/>
    </xf>
    <xf numFmtId="0" fontId="10" fillId="0" borderId="1" xfId="0" applyFont="1" applyFill="1" applyBorder="1" applyAlignment="1">
      <alignment vertical="top" wrapText="1"/>
    </xf>
    <xf numFmtId="0" fontId="8" fillId="0" borderId="2" xfId="0" applyFont="1" applyBorder="1" applyAlignment="1">
      <alignment horizontal="center" vertical="top"/>
    </xf>
    <xf numFmtId="0" fontId="8" fillId="0" borderId="5" xfId="0" applyFont="1" applyBorder="1" applyAlignment="1">
      <alignment horizontal="center" vertical="top"/>
    </xf>
    <xf numFmtId="0" fontId="8" fillId="0" borderId="3" xfId="0" applyFont="1" applyBorder="1" applyAlignment="1">
      <alignment wrapText="1"/>
    </xf>
    <xf numFmtId="164" fontId="19" fillId="0" borderId="0" xfId="1" applyFont="1" applyFill="1" applyBorder="1" applyAlignment="1">
      <alignment horizontal="center" vertical="center"/>
    </xf>
    <xf numFmtId="164" fontId="10" fillId="0" borderId="1" xfId="1" applyFont="1" applyBorder="1" applyAlignment="1">
      <alignment horizontal="center"/>
    </xf>
    <xf numFmtId="0" fontId="10" fillId="0" borderId="1" xfId="0" applyFont="1" applyBorder="1" applyAlignment="1">
      <alignment horizontal="center" vertical="top"/>
    </xf>
    <xf numFmtId="164" fontId="10" fillId="2" borderId="1" xfId="1" applyFont="1" applyFill="1" applyBorder="1" applyAlignment="1">
      <alignment horizontal="center"/>
    </xf>
    <xf numFmtId="164" fontId="8" fillId="2" borderId="1" xfId="0" applyNumberFormat="1" applyFont="1" applyFill="1" applyBorder="1"/>
    <xf numFmtId="43" fontId="0" fillId="0" borderId="0" xfId="0" applyNumberFormat="1"/>
    <xf numFmtId="0" fontId="8" fillId="0" borderId="1" xfId="0" applyFont="1" applyBorder="1" applyAlignment="1">
      <alignment horizontal="center" vertical="top" wrapText="1"/>
    </xf>
    <xf numFmtId="164" fontId="8" fillId="0" borderId="1" xfId="0" applyNumberFormat="1" applyFont="1" applyFill="1" applyBorder="1"/>
    <xf numFmtId="0" fontId="8" fillId="0" borderId="1" xfId="0" applyFont="1" applyFill="1" applyBorder="1" applyAlignment="1">
      <alignment horizontal="center" vertical="top"/>
    </xf>
    <xf numFmtId="0" fontId="10" fillId="0" borderId="1" xfId="0" applyFont="1" applyBorder="1" applyAlignment="1">
      <alignment vertical="top" wrapText="1"/>
    </xf>
    <xf numFmtId="0" fontId="8" fillId="0" borderId="3" xfId="0" applyFont="1" applyBorder="1"/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/>
    <xf numFmtId="164" fontId="8" fillId="2" borderId="1" xfId="1" applyFont="1" applyFill="1" applyBorder="1"/>
    <xf numFmtId="2" fontId="8" fillId="2" borderId="1" xfId="0" applyNumberFormat="1" applyFont="1" applyFill="1" applyBorder="1"/>
    <xf numFmtId="0" fontId="15" fillId="2" borderId="0" xfId="0" applyFont="1" applyFill="1"/>
    <xf numFmtId="0" fontId="8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wrapText="1"/>
    </xf>
    <xf numFmtId="164" fontId="8" fillId="3" borderId="1" xfId="1" applyFont="1" applyFill="1" applyBorder="1"/>
    <xf numFmtId="2" fontId="8" fillId="3" borderId="1" xfId="0" applyNumberFormat="1" applyFont="1" applyFill="1" applyBorder="1"/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/>
    <xf numFmtId="164" fontId="8" fillId="4" borderId="1" xfId="1" applyFont="1" applyFill="1" applyBorder="1"/>
    <xf numFmtId="2" fontId="8" fillId="4" borderId="1" xfId="0" applyNumberFormat="1" applyFont="1" applyFill="1" applyBorder="1"/>
    <xf numFmtId="0" fontId="8" fillId="4" borderId="1" xfId="0" applyFont="1" applyFill="1" applyBorder="1" applyAlignment="1">
      <alignment wrapText="1"/>
    </xf>
    <xf numFmtId="164" fontId="0" fillId="0" borderId="0" xfId="0" applyNumberFormat="1"/>
    <xf numFmtId="0" fontId="0" fillId="4" borderId="0" xfId="0" applyFill="1"/>
    <xf numFmtId="0" fontId="8" fillId="4" borderId="2" xfId="0" applyFont="1" applyFill="1" applyBorder="1" applyAlignment="1">
      <alignment horizontal="center" vertical="top"/>
    </xf>
    <xf numFmtId="0" fontId="8" fillId="4" borderId="5" xfId="0" applyFont="1" applyFill="1" applyBorder="1" applyAlignment="1">
      <alignment horizontal="center" vertical="top"/>
    </xf>
    <xf numFmtId="0" fontId="8" fillId="4" borderId="3" xfId="0" applyFont="1" applyFill="1" applyBorder="1" applyAlignment="1">
      <alignment wrapText="1"/>
    </xf>
    <xf numFmtId="164" fontId="8" fillId="4" borderId="1" xfId="0" applyNumberFormat="1" applyFont="1" applyFill="1" applyBorder="1"/>
    <xf numFmtId="0" fontId="8" fillId="4" borderId="1" xfId="0" applyFont="1" applyFill="1" applyBorder="1" applyAlignment="1">
      <alignment horizontal="center" vertical="top"/>
    </xf>
    <xf numFmtId="0" fontId="8" fillId="4" borderId="1" xfId="0" applyFont="1" applyFill="1" applyBorder="1" applyAlignment="1">
      <alignment horizontal="center" vertical="top" wrapText="1"/>
    </xf>
    <xf numFmtId="0" fontId="8" fillId="5" borderId="1" xfId="0" applyFont="1" applyFill="1" applyBorder="1" applyAlignment="1">
      <alignment horizontal="center" vertical="top"/>
    </xf>
    <xf numFmtId="0" fontId="8" fillId="5" borderId="1" xfId="0" applyFont="1" applyFill="1" applyBorder="1" applyAlignment="1">
      <alignment wrapText="1"/>
    </xf>
    <xf numFmtId="164" fontId="8" fillId="5" borderId="1" xfId="0" applyNumberFormat="1" applyFont="1" applyFill="1" applyBorder="1"/>
    <xf numFmtId="0" fontId="8" fillId="5" borderId="1" xfId="0" applyFont="1" applyFill="1" applyBorder="1" applyAlignment="1">
      <alignment horizontal="center" vertical="top" wrapText="1"/>
    </xf>
    <xf numFmtId="0" fontId="10" fillId="0" borderId="3" xfId="0" applyFont="1" applyFill="1" applyBorder="1" applyAlignment="1">
      <alignment vertical="top" wrapText="1"/>
    </xf>
    <xf numFmtId="0" fontId="0" fillId="0" borderId="0" xfId="0" applyFill="1"/>
    <xf numFmtId="0" fontId="15" fillId="0" borderId="0" xfId="0" applyFont="1"/>
    <xf numFmtId="0" fontId="15" fillId="0" borderId="0" xfId="0" applyFont="1" applyAlignment="1">
      <alignment horizontal="right"/>
    </xf>
    <xf numFmtId="0" fontId="10" fillId="0" borderId="1" xfId="0" applyFont="1" applyBorder="1" applyAlignment="1">
      <alignment vertical="top"/>
    </xf>
    <xf numFmtId="0" fontId="8" fillId="0" borderId="1" xfId="2" applyFont="1" applyFill="1" applyBorder="1" applyAlignment="1">
      <alignment horizontal="center" vertical="top"/>
    </xf>
    <xf numFmtId="0" fontId="9" fillId="0" borderId="1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16" fillId="0" borderId="0" xfId="0" applyFont="1" applyAlignment="1">
      <alignment horizontal="center"/>
    </xf>
    <xf numFmtId="0" fontId="16" fillId="0" borderId="2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6" fillId="0" borderId="0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top"/>
    </xf>
    <xf numFmtId="0" fontId="3" fillId="0" borderId="2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8" fillId="0" borderId="0" xfId="2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6" fillId="0" borderId="0" xfId="0" applyFont="1" applyAlignment="1">
      <alignment horizontal="center" vertical="top" wrapText="1"/>
    </xf>
    <xf numFmtId="0" fontId="16" fillId="0" borderId="0" xfId="0" applyFont="1" applyAlignment="1">
      <alignment horizontal="center" vertical="top"/>
    </xf>
    <xf numFmtId="0" fontId="16" fillId="0" borderId="5" xfId="0" applyFont="1" applyBorder="1" applyAlignment="1">
      <alignment horizontal="center"/>
    </xf>
    <xf numFmtId="0" fontId="17" fillId="0" borderId="0" xfId="0" applyFont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17" fillId="0" borderId="0" xfId="0" applyFont="1" applyBorder="1" applyAlignment="1">
      <alignment horizontal="center" vertical="top" wrapText="1"/>
    </xf>
    <xf numFmtId="0" fontId="17" fillId="0" borderId="0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6" fillId="0" borderId="4" xfId="0" applyFont="1" applyBorder="1" applyAlignment="1">
      <alignment horizontal="center" vertical="center"/>
    </xf>
    <xf numFmtId="43" fontId="2" fillId="0" borderId="0" xfId="0" applyNumberFormat="1" applyFont="1"/>
  </cellXfs>
  <cellStyles count="3">
    <cellStyle name="Hyperlink" xfId="2" builtinId="8"/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99CCFF"/>
      <color rgb="FFFF00FF"/>
      <color rgb="FFCC0066"/>
      <color rgb="FFFF9900"/>
      <color rgb="FFCC66FF"/>
      <color rgb="FFFF7C80"/>
      <color rgb="FFCCFF99"/>
      <color rgb="FFFFCCFF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19"/>
  <sheetViews>
    <sheetView topLeftCell="A7" zoomScaleNormal="100" workbookViewId="0">
      <selection activeCell="H11" sqref="H11"/>
    </sheetView>
  </sheetViews>
  <sheetFormatPr defaultRowHeight="14.4"/>
  <cols>
    <col min="1" max="1" width="6.88671875" customWidth="1"/>
    <col min="2" max="2" width="79.5546875" customWidth="1"/>
    <col min="3" max="3" width="15.109375" customWidth="1"/>
    <col min="4" max="4" width="15.21875" customWidth="1"/>
    <col min="5" max="5" width="14.44140625" customWidth="1"/>
    <col min="6" max="6" width="11.33203125" customWidth="1"/>
    <col min="7" max="7" width="2.6640625" customWidth="1"/>
    <col min="8" max="8" width="22.77734375" customWidth="1"/>
  </cols>
  <sheetData>
    <row r="1" spans="1:10" ht="24.6">
      <c r="A1" s="115" t="s">
        <v>212</v>
      </c>
      <c r="B1" s="115"/>
      <c r="C1" s="115"/>
      <c r="D1" s="115"/>
      <c r="E1" s="115"/>
      <c r="F1" s="115"/>
      <c r="G1" s="16"/>
      <c r="H1" s="16"/>
      <c r="I1" s="16"/>
      <c r="J1" s="16"/>
    </row>
    <row r="2" spans="1:10" ht="24.6">
      <c r="A2" s="115" t="s">
        <v>17</v>
      </c>
      <c r="B2" s="115"/>
      <c r="C2" s="115"/>
      <c r="D2" s="115"/>
      <c r="E2" s="115"/>
      <c r="F2" s="115"/>
      <c r="G2" s="16"/>
      <c r="H2" s="16"/>
      <c r="I2" s="16"/>
      <c r="J2" s="16"/>
    </row>
    <row r="3" spans="1:10" ht="24.6">
      <c r="A3" s="17" t="s">
        <v>267</v>
      </c>
      <c r="B3" s="18"/>
      <c r="C3" s="19"/>
      <c r="D3" s="19"/>
      <c r="E3" s="19"/>
      <c r="F3" s="18"/>
      <c r="G3" s="18"/>
      <c r="H3" s="60"/>
      <c r="I3" s="20"/>
      <c r="J3" s="20"/>
    </row>
    <row r="4" spans="1:10" ht="24.6">
      <c r="A4" s="21" t="s">
        <v>9</v>
      </c>
      <c r="B4" s="22" t="s">
        <v>12</v>
      </c>
      <c r="C4" s="23" t="s">
        <v>13</v>
      </c>
      <c r="D4" s="23" t="s">
        <v>10</v>
      </c>
      <c r="E4" s="23" t="s">
        <v>4</v>
      </c>
      <c r="F4" s="21" t="s">
        <v>11</v>
      </c>
      <c r="G4" s="24"/>
      <c r="H4" s="20"/>
      <c r="I4" s="25"/>
      <c r="J4" s="25"/>
    </row>
    <row r="5" spans="1:10" ht="24.6">
      <c r="A5" s="82">
        <v>1</v>
      </c>
      <c r="B5" s="83" t="s">
        <v>40</v>
      </c>
      <c r="C5" s="84">
        <f>'1.โครงการพัฒนาศักยภาพ บริหาร'!C7</f>
        <v>29200</v>
      </c>
      <c r="D5" s="84">
        <f>'1.โครงการพัฒนาศักยภาพ บริหาร'!D7</f>
        <v>28800</v>
      </c>
      <c r="E5" s="84">
        <f>C5-D5</f>
        <v>400</v>
      </c>
      <c r="F5" s="85">
        <f>D5*100/C5</f>
        <v>98.630136986301366</v>
      </c>
      <c r="G5" s="24"/>
      <c r="H5" s="26" t="s">
        <v>45</v>
      </c>
      <c r="I5" s="25"/>
      <c r="J5" s="25"/>
    </row>
    <row r="6" spans="1:10" ht="48" customHeight="1">
      <c r="A6" s="47">
        <v>2</v>
      </c>
      <c r="B6" s="62" t="s">
        <v>46</v>
      </c>
      <c r="C6" s="48">
        <f>'2.โครงพัฒนาทักษะ กศ.ปช'!D8</f>
        <v>21200</v>
      </c>
      <c r="D6" s="48">
        <f>'2.โครงพัฒนาทักษะ กศ.ปช'!E8</f>
        <v>3800</v>
      </c>
      <c r="E6" s="48">
        <f>C6-D6</f>
        <v>17400</v>
      </c>
      <c r="F6" s="49">
        <f>D6*100/C6</f>
        <v>17.924528301886792</v>
      </c>
      <c r="G6" s="24"/>
      <c r="H6" s="27" t="s">
        <v>47</v>
      </c>
      <c r="I6" s="25"/>
      <c r="J6" s="25"/>
    </row>
    <row r="7" spans="1:10" ht="49.2">
      <c r="A7" s="87">
        <v>3</v>
      </c>
      <c r="B7" s="88" t="s">
        <v>56</v>
      </c>
      <c r="C7" s="89">
        <f>'3.โครงการบริหารธุรกิจมหาบัณฑิต'!C7</f>
        <v>75200</v>
      </c>
      <c r="D7" s="89">
        <f>'3.โครงการบริหารธุรกิจมหาบัณฑิต'!D7</f>
        <v>75200</v>
      </c>
      <c r="E7" s="89">
        <f>C7-D7</f>
        <v>0</v>
      </c>
      <c r="F7" s="90">
        <f>D7*100/C7</f>
        <v>100</v>
      </c>
      <c r="G7" s="24"/>
      <c r="H7" s="26" t="s">
        <v>57</v>
      </c>
      <c r="I7" s="25"/>
      <c r="J7" s="25"/>
    </row>
    <row r="8" spans="1:10" ht="24.6">
      <c r="A8" s="82">
        <v>4</v>
      </c>
      <c r="B8" s="86" t="s">
        <v>60</v>
      </c>
      <c r="C8" s="84">
        <f>'4.โครงการ รปศ ป.โท'!C7</f>
        <v>12000</v>
      </c>
      <c r="D8" s="84">
        <f>'4.โครงการ รปศ ป.โท'!D7</f>
        <v>12000</v>
      </c>
      <c r="E8" s="84">
        <f>C8-D8</f>
        <v>0</v>
      </c>
      <c r="F8" s="85">
        <f>D8*100/C8</f>
        <v>100</v>
      </c>
      <c r="G8" s="24"/>
      <c r="H8" s="26" t="s">
        <v>75</v>
      </c>
      <c r="I8" s="25"/>
      <c r="J8" s="25"/>
    </row>
    <row r="9" spans="1:10" ht="24.6">
      <c r="A9" s="91">
        <v>5</v>
      </c>
      <c r="B9" s="92" t="s">
        <v>74</v>
      </c>
      <c r="C9" s="93">
        <f>'5.โครงการ รัฐศาสตร์ ป.โท '!C7</f>
        <v>3200</v>
      </c>
      <c r="D9" s="93">
        <f>'5.โครงการ รัฐศาสตร์ ป.โท '!D7</f>
        <v>3200</v>
      </c>
      <c r="E9" s="93">
        <f>C9-D9</f>
        <v>0</v>
      </c>
      <c r="F9" s="94">
        <f t="shared" ref="F9:F13" si="0">D9*100/C9</f>
        <v>100</v>
      </c>
      <c r="G9" s="24"/>
      <c r="H9" s="26" t="s">
        <v>76</v>
      </c>
      <c r="I9" s="25"/>
      <c r="J9" s="25"/>
    </row>
    <row r="10" spans="1:10" ht="49.2">
      <c r="A10" s="47">
        <v>6</v>
      </c>
      <c r="B10" s="50" t="s">
        <v>77</v>
      </c>
      <c r="C10" s="48">
        <f>'6.จัดการเรียนการสอนบัณฑิต'!C10</f>
        <v>3756000</v>
      </c>
      <c r="D10" s="48">
        <f>'6.จัดการเรียนการสอนบัณฑิต'!D10</f>
        <v>1676550</v>
      </c>
      <c r="E10" s="48">
        <f t="shared" ref="E10:E13" si="1">C10-D10</f>
        <v>2079450</v>
      </c>
      <c r="F10" s="49">
        <f t="shared" si="0"/>
        <v>44.636581469648561</v>
      </c>
      <c r="G10" s="24"/>
      <c r="H10" s="27" t="s">
        <v>85</v>
      </c>
      <c r="I10" s="25"/>
      <c r="J10" s="25"/>
    </row>
    <row r="11" spans="1:10" ht="49.2">
      <c r="A11" s="47">
        <v>7</v>
      </c>
      <c r="B11" s="50" t="s">
        <v>92</v>
      </c>
      <c r="C11" s="48">
        <f>'7.โครงการนิเทศ'!C7</f>
        <v>625300</v>
      </c>
      <c r="D11" s="48">
        <f>'7.โครงการนิเทศ'!D7</f>
        <v>575598</v>
      </c>
      <c r="E11" s="48">
        <f t="shared" si="1"/>
        <v>49702</v>
      </c>
      <c r="F11" s="49">
        <f t="shared" si="0"/>
        <v>92.051495282264511</v>
      </c>
      <c r="G11" s="24"/>
      <c r="H11" s="27" t="s">
        <v>126</v>
      </c>
      <c r="I11" s="25"/>
      <c r="J11" s="25"/>
    </row>
    <row r="12" spans="1:10" ht="49.2">
      <c r="A12" s="47">
        <v>8</v>
      </c>
      <c r="B12" s="50" t="s">
        <v>93</v>
      </c>
      <c r="C12" s="48">
        <f>'8.โครงการรับประเมิน'!C7</f>
        <v>130000</v>
      </c>
      <c r="D12" s="48">
        <f>'8.โครงการรับประเมิน'!D7</f>
        <v>122786</v>
      </c>
      <c r="E12" s="48">
        <f t="shared" si="1"/>
        <v>7214</v>
      </c>
      <c r="F12" s="49">
        <f t="shared" si="0"/>
        <v>94.450769230769225</v>
      </c>
      <c r="G12" s="24"/>
      <c r="H12" s="27" t="s">
        <v>105</v>
      </c>
      <c r="I12" s="25"/>
      <c r="J12" s="25"/>
    </row>
    <row r="13" spans="1:10" ht="24.6">
      <c r="A13" s="91">
        <v>9</v>
      </c>
      <c r="B13" s="95" t="s">
        <v>104</v>
      </c>
      <c r="C13" s="93">
        <f>'9.โครงการสู่ความเป็นเลิศ'!D15</f>
        <v>120600</v>
      </c>
      <c r="D13" s="93">
        <f>'9.โครงการสู่ความเป็นเลิศ'!E15</f>
        <v>120600</v>
      </c>
      <c r="E13" s="93">
        <f t="shared" si="1"/>
        <v>0</v>
      </c>
      <c r="F13" s="94">
        <f t="shared" si="0"/>
        <v>100</v>
      </c>
      <c r="G13" s="24"/>
      <c r="H13" s="27" t="s">
        <v>106</v>
      </c>
      <c r="I13" s="25"/>
      <c r="J13" s="25"/>
    </row>
    <row r="14" spans="1:10" ht="24.6">
      <c r="A14" s="114" t="s">
        <v>5</v>
      </c>
      <c r="B14" s="114"/>
      <c r="C14" s="51">
        <f>SUM(C5:C13)</f>
        <v>4772700</v>
      </c>
      <c r="D14" s="51">
        <f>SUM(D5:D13)</f>
        <v>2618534</v>
      </c>
      <c r="E14" s="51">
        <f>SUM(E5:E13)</f>
        <v>2154166</v>
      </c>
      <c r="F14" s="52">
        <f>D14*100/C14</f>
        <v>54.864835418107148</v>
      </c>
      <c r="G14" s="25"/>
      <c r="H14" s="20"/>
      <c r="I14" s="25"/>
      <c r="J14" s="25"/>
    </row>
    <row r="15" spans="1:10" ht="24.6">
      <c r="A15" s="25"/>
      <c r="B15" s="25"/>
      <c r="C15" s="25"/>
      <c r="D15" s="25"/>
      <c r="E15" s="25"/>
      <c r="F15" s="25"/>
      <c r="G15" s="25"/>
      <c r="H15" s="20"/>
      <c r="I15" s="25"/>
      <c r="J15" s="25"/>
    </row>
    <row r="16" spans="1:10" ht="24.6">
      <c r="A16" s="25"/>
      <c r="B16" s="46" t="s">
        <v>36</v>
      </c>
      <c r="C16" s="25"/>
      <c r="D16" s="53"/>
      <c r="E16" s="53"/>
      <c r="F16" s="25"/>
      <c r="G16" s="25"/>
      <c r="H16" s="25"/>
      <c r="I16" s="25"/>
      <c r="J16" s="25"/>
    </row>
    <row r="17" spans="1:10" ht="24.6">
      <c r="A17" s="25"/>
      <c r="B17" s="20" t="s">
        <v>402</v>
      </c>
      <c r="C17" s="53"/>
      <c r="D17" s="25"/>
      <c r="E17" s="53"/>
      <c r="F17" s="25"/>
      <c r="G17" s="25"/>
      <c r="H17" s="25"/>
      <c r="I17" s="25"/>
      <c r="J17" s="25"/>
    </row>
    <row r="18" spans="1:10" ht="16.8">
      <c r="A18" s="25"/>
      <c r="B18" s="25"/>
      <c r="C18" s="25"/>
      <c r="D18" s="25"/>
      <c r="E18" s="53"/>
      <c r="F18" s="25"/>
      <c r="G18" s="25"/>
      <c r="H18" s="25"/>
      <c r="I18" s="25"/>
      <c r="J18" s="25"/>
    </row>
    <row r="19" spans="1:10" ht="21">
      <c r="A19" s="25"/>
      <c r="B19" s="25"/>
      <c r="C19" s="25"/>
      <c r="D19" s="71"/>
      <c r="E19" s="53"/>
      <c r="F19" s="25"/>
      <c r="G19" s="25"/>
      <c r="H19" s="25"/>
      <c r="I19" s="25"/>
      <c r="J19" s="25"/>
    </row>
  </sheetData>
  <mergeCells count="3">
    <mergeCell ref="A14:B14"/>
    <mergeCell ref="A1:F1"/>
    <mergeCell ref="A2:F2"/>
  </mergeCells>
  <hyperlinks>
    <hyperlink ref="H5" location="'1.โครงการพัฒนาศักยภาพ บริหาร'!A1" display="1โครงการพฒนานศ.บริหารธุรกิจ"/>
    <hyperlink ref="H10" location="'6.จัดการเรียนการสอนบัณฑิต'!A1" display="6.โครงการจัดการเรียนการสอน"/>
    <hyperlink ref="H6" location="'2.โครงพัฒนาทักษะ กศ.ปช'!A1" display="2.โครงการพัฒนานักศึกษา กศ.ปช"/>
    <hyperlink ref="H7" location="'3.โครงการบริหารธุรกิจมหาบัณฑิต'!A1" display="3.โครงการพัฒนาศักยภาพบริหาร ป.โท"/>
    <hyperlink ref="H8" location="'4.โครงการ รปศ ป.โท'!A1" display="4.โครงการ รปศ. ป โท"/>
    <hyperlink ref="H9" location="'5.โครงการ รัฐศาสตร์ ป.โท '!A1" display="5.โครงการรัฐศาสตร์ ป.โท"/>
    <hyperlink ref="H13" location="'9.โครงการสู่ความเป็นเลิศ'!A1" display="9.โครงการบริหารจัดการสู๋ความเป็นเลิศ"/>
    <hyperlink ref="H12" location="'8.โครงการรับประเมิน'!A1" display="8.โครงการรับการตรวจประเมิน"/>
    <hyperlink ref="H11" location="'7.โครงการนิเทศ'!A1" display="7.โครงการยกระดับ"/>
  </hyperlinks>
  <pageMargins left="0" right="0" top="0.74803149606299213" bottom="0.74803149606299213" header="0.31496062992125984" footer="0.31496062992125984"/>
  <pageSetup paperSize="9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F10"/>
  <sheetViews>
    <sheetView workbookViewId="0">
      <selection activeCell="F1" sqref="F1"/>
    </sheetView>
  </sheetViews>
  <sheetFormatPr defaultColWidth="9.109375" defaultRowHeight="24.6"/>
  <cols>
    <col min="1" max="1" width="13.33203125" style="3" customWidth="1"/>
    <col min="2" max="2" width="68.33203125" style="1" customWidth="1"/>
    <col min="3" max="3" width="15.77734375" style="4" customWidth="1"/>
    <col min="4" max="4" width="15.33203125" style="4" customWidth="1"/>
    <col min="5" max="5" width="14.6640625" style="4" customWidth="1"/>
    <col min="6" max="16384" width="9.109375" style="1"/>
  </cols>
  <sheetData>
    <row r="1" spans="1:6">
      <c r="A1" s="116" t="s">
        <v>40</v>
      </c>
      <c r="B1" s="117"/>
      <c r="C1" s="117"/>
      <c r="D1" s="117"/>
      <c r="E1" s="117"/>
      <c r="F1" s="6" t="s">
        <v>8</v>
      </c>
    </row>
    <row r="2" spans="1:6">
      <c r="A2" s="117" t="s">
        <v>27</v>
      </c>
      <c r="B2" s="117"/>
      <c r="C2" s="117"/>
      <c r="D2" s="117"/>
      <c r="E2" s="117"/>
    </row>
    <row r="3" spans="1:6" s="2" customFormat="1" ht="30" customHeight="1">
      <c r="A3" s="28" t="s">
        <v>0</v>
      </c>
      <c r="B3" s="28" t="s">
        <v>1</v>
      </c>
      <c r="C3" s="29" t="s">
        <v>18</v>
      </c>
      <c r="D3" s="29" t="s">
        <v>3</v>
      </c>
      <c r="E3" s="29" t="s">
        <v>4</v>
      </c>
    </row>
    <row r="4" spans="1:6">
      <c r="A4" s="30"/>
      <c r="B4" s="31" t="s">
        <v>19</v>
      </c>
      <c r="C4" s="32">
        <v>2900</v>
      </c>
      <c r="D4" s="32"/>
      <c r="E4" s="32">
        <f>C4-D4</f>
        <v>2900</v>
      </c>
    </row>
    <row r="5" spans="1:6" ht="48" customHeight="1">
      <c r="A5" s="61" t="s">
        <v>38</v>
      </c>
      <c r="B5" s="15" t="s">
        <v>41</v>
      </c>
      <c r="C5" s="34">
        <f>'กิจกรรมที่ 1.1'!D7</f>
        <v>14400</v>
      </c>
      <c r="D5" s="34">
        <f>'กิจกรรมที่ 1.1'!E7</f>
        <v>14400</v>
      </c>
      <c r="E5" s="34">
        <f>C5-D5</f>
        <v>0</v>
      </c>
    </row>
    <row r="6" spans="1:6" ht="24" customHeight="1">
      <c r="A6" s="61" t="s">
        <v>39</v>
      </c>
      <c r="B6" s="35" t="s">
        <v>42</v>
      </c>
      <c r="C6" s="34">
        <f>'กิจกรรมที่ 1.2'!D6</f>
        <v>14800</v>
      </c>
      <c r="D6" s="34">
        <f>'กิจกรรมที่ 1.2'!E6</f>
        <v>14400</v>
      </c>
      <c r="E6" s="34">
        <f t="shared" ref="E6:E7" si="0">C6-D6</f>
        <v>400</v>
      </c>
    </row>
    <row r="7" spans="1:6">
      <c r="A7" s="118" t="s">
        <v>5</v>
      </c>
      <c r="B7" s="119"/>
      <c r="C7" s="32">
        <f>SUM(C5:C6)</f>
        <v>29200</v>
      </c>
      <c r="D7" s="32">
        <f>D5+D6</f>
        <v>28800</v>
      </c>
      <c r="E7" s="32">
        <f t="shared" si="0"/>
        <v>400</v>
      </c>
    </row>
    <row r="8" spans="1:6">
      <c r="A8" s="40"/>
      <c r="B8" s="20"/>
      <c r="C8" s="41"/>
      <c r="D8" s="41"/>
      <c r="E8" s="41"/>
    </row>
    <row r="9" spans="1:6">
      <c r="A9" s="40"/>
      <c r="B9" s="20"/>
      <c r="C9" s="41"/>
      <c r="D9" s="41"/>
      <c r="E9" s="41"/>
    </row>
    <row r="10" spans="1:6">
      <c r="A10" s="40"/>
      <c r="B10" s="20"/>
      <c r="C10" s="41"/>
      <c r="D10" s="41"/>
      <c r="E10" s="41"/>
    </row>
  </sheetData>
  <mergeCells count="3">
    <mergeCell ref="A1:E1"/>
    <mergeCell ref="A2:E2"/>
    <mergeCell ref="A7:B7"/>
  </mergeCells>
  <hyperlinks>
    <hyperlink ref="F1" location="หน้าหลัก!A1" display="หน้าหลัก"/>
    <hyperlink ref="A5" location="'กิจกรรมที่ 1.1'!A1" display="กิจกรรมที่ 1.1"/>
    <hyperlink ref="A6" location="'กิจกรรมที่ 1.2'!A1" display="กิจกรรมที่ 1.2"/>
  </hyperlinks>
  <pageMargins left="0.7" right="0.7" top="0.75" bottom="0.75" header="0.3" footer="0.3"/>
  <pageSetup paperSize="9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workbookViewId="0">
      <selection activeCell="G1" sqref="G1"/>
    </sheetView>
  </sheetViews>
  <sheetFormatPr defaultRowHeight="14.4"/>
  <cols>
    <col min="1" max="1" width="13.44140625" customWidth="1"/>
    <col min="2" max="2" width="15.88671875" customWidth="1"/>
    <col min="3" max="3" width="70.33203125" customWidth="1"/>
    <col min="4" max="4" width="12.88671875" customWidth="1"/>
    <col min="5" max="5" width="13.88671875" customWidth="1"/>
    <col min="6" max="6" width="12.77734375" customWidth="1"/>
  </cols>
  <sheetData>
    <row r="1" spans="1:7" ht="24" customHeight="1">
      <c r="A1" s="120" t="s">
        <v>43</v>
      </c>
      <c r="B1" s="121"/>
      <c r="C1" s="121"/>
      <c r="D1" s="121"/>
      <c r="E1" s="121"/>
      <c r="F1" s="121"/>
      <c r="G1" s="6" t="s">
        <v>44</v>
      </c>
    </row>
    <row r="2" spans="1:7" ht="24" customHeight="1">
      <c r="A2" s="9"/>
      <c r="B2" s="9"/>
      <c r="C2" s="9" t="s">
        <v>27</v>
      </c>
      <c r="D2" s="9"/>
      <c r="E2" s="9"/>
      <c r="F2" s="9"/>
      <c r="G2" s="6"/>
    </row>
    <row r="3" spans="1:7" ht="24.6">
      <c r="A3" s="5" t="s">
        <v>20</v>
      </c>
      <c r="B3" s="5" t="s">
        <v>21</v>
      </c>
      <c r="C3" s="5" t="s">
        <v>6</v>
      </c>
      <c r="D3" s="5" t="s">
        <v>14</v>
      </c>
      <c r="E3" s="5" t="s">
        <v>7</v>
      </c>
      <c r="F3" s="5" t="s">
        <v>4</v>
      </c>
    </row>
    <row r="4" spans="1:7" ht="49.2">
      <c r="A4" s="11"/>
      <c r="B4" s="11"/>
      <c r="C4" s="15" t="s">
        <v>41</v>
      </c>
      <c r="D4" s="13">
        <v>14400</v>
      </c>
      <c r="E4" s="13"/>
      <c r="F4" s="13">
        <f>D4-E4</f>
        <v>14400</v>
      </c>
      <c r="G4" s="25"/>
    </row>
    <row r="5" spans="1:7" ht="96" customHeight="1">
      <c r="A5" s="14" t="s">
        <v>205</v>
      </c>
      <c r="B5" s="14" t="s">
        <v>206</v>
      </c>
      <c r="C5" s="15" t="s">
        <v>204</v>
      </c>
      <c r="D5" s="13"/>
      <c r="E5" s="13">
        <v>14400</v>
      </c>
      <c r="F5" s="13">
        <f>F4+D5-E5</f>
        <v>0</v>
      </c>
      <c r="G5" s="25"/>
    </row>
    <row r="6" spans="1:7" ht="24.6">
      <c r="A6" s="14"/>
      <c r="B6" s="14"/>
      <c r="C6" s="15"/>
      <c r="D6" s="13"/>
      <c r="E6" s="13"/>
      <c r="F6" s="13">
        <f t="shared" ref="F6" si="0">F5+D6-E6</f>
        <v>0</v>
      </c>
      <c r="G6" s="25"/>
    </row>
    <row r="7" spans="1:7" ht="24.6">
      <c r="A7" s="122" t="s">
        <v>5</v>
      </c>
      <c r="B7" s="123"/>
      <c r="C7" s="124"/>
      <c r="D7" s="7">
        <f>SUM(D4:D6)</f>
        <v>14400</v>
      </c>
      <c r="E7" s="7">
        <f>SUM(E4:E6)</f>
        <v>14400</v>
      </c>
      <c r="F7" s="7">
        <f>D7-E7</f>
        <v>0</v>
      </c>
    </row>
    <row r="8" spans="1:7" ht="24.6">
      <c r="A8" s="1"/>
      <c r="B8" s="1"/>
      <c r="C8" s="1"/>
      <c r="D8" s="1"/>
      <c r="E8" s="1"/>
      <c r="F8" s="1"/>
    </row>
    <row r="9" spans="1:7" ht="24.6">
      <c r="A9" s="1"/>
      <c r="B9" s="1"/>
      <c r="C9" s="1" t="s">
        <v>16</v>
      </c>
      <c r="D9" s="1"/>
      <c r="E9" s="1"/>
      <c r="F9" s="1"/>
    </row>
    <row r="10" spans="1:7" ht="24.6">
      <c r="A10" s="1"/>
      <c r="B10" s="1"/>
      <c r="C10" s="1"/>
      <c r="D10" s="1"/>
      <c r="E10" s="1"/>
      <c r="F10" s="1"/>
    </row>
    <row r="11" spans="1:7" ht="24.6">
      <c r="A11" s="1"/>
      <c r="B11" s="1"/>
      <c r="C11" s="1"/>
      <c r="D11" s="1"/>
      <c r="E11" s="1"/>
      <c r="F11" s="1"/>
    </row>
    <row r="12" spans="1:7" ht="24.6">
      <c r="A12" s="1"/>
      <c r="B12" s="1"/>
      <c r="C12" s="1" t="s">
        <v>15</v>
      </c>
      <c r="D12" s="1"/>
      <c r="E12" s="1"/>
      <c r="F12" s="1"/>
    </row>
    <row r="13" spans="1:7" ht="24.6">
      <c r="A13" s="1"/>
      <c r="B13" s="1"/>
      <c r="C13" s="1"/>
      <c r="D13" s="1"/>
      <c r="E13" s="1"/>
      <c r="F13" s="1"/>
    </row>
    <row r="14" spans="1:7" ht="24.6">
      <c r="A14" s="1"/>
      <c r="B14" s="1"/>
      <c r="C14" s="1"/>
      <c r="D14" s="1"/>
      <c r="E14" s="1"/>
      <c r="F14" s="1"/>
    </row>
    <row r="15" spans="1:7" ht="24.6">
      <c r="A15" s="1"/>
      <c r="B15" s="1"/>
      <c r="C15" s="1"/>
      <c r="D15" s="1"/>
      <c r="E15" s="1"/>
      <c r="F15" s="1"/>
    </row>
    <row r="16" spans="1:7" ht="24.6">
      <c r="A16" s="1"/>
      <c r="B16" s="1"/>
      <c r="C16" s="1"/>
      <c r="D16" s="1"/>
      <c r="E16" s="1"/>
      <c r="F16" s="1"/>
    </row>
    <row r="17" spans="1:6" ht="24.6">
      <c r="A17" s="1"/>
      <c r="B17" s="1"/>
      <c r="C17" s="1"/>
      <c r="D17" s="1"/>
      <c r="E17" s="1"/>
      <c r="F17" s="1"/>
    </row>
    <row r="18" spans="1:6" ht="24.6">
      <c r="A18" s="1"/>
      <c r="B18" s="1"/>
      <c r="C18" s="1"/>
      <c r="D18" s="1"/>
      <c r="E18" s="1"/>
      <c r="F18" s="1"/>
    </row>
    <row r="19" spans="1:6" ht="24.6">
      <c r="A19" s="1"/>
      <c r="B19" s="1"/>
      <c r="C19" s="1"/>
      <c r="D19" s="1"/>
      <c r="E19" s="1"/>
      <c r="F19" s="1"/>
    </row>
    <row r="20" spans="1:6" ht="24.6">
      <c r="A20" s="1"/>
      <c r="B20" s="1"/>
      <c r="C20" s="1"/>
      <c r="D20" s="1"/>
      <c r="E20" s="1"/>
      <c r="F20" s="1"/>
    </row>
    <row r="21" spans="1:6" ht="24.6">
      <c r="A21" s="1"/>
      <c r="B21" s="1"/>
      <c r="C21" s="1"/>
      <c r="D21" s="1"/>
      <c r="E21" s="1"/>
      <c r="F21" s="1"/>
    </row>
    <row r="22" spans="1:6" ht="24.6">
      <c r="A22" s="1"/>
      <c r="B22" s="1"/>
      <c r="C22" s="1"/>
      <c r="D22" s="1"/>
      <c r="E22" s="1"/>
      <c r="F22" s="1"/>
    </row>
    <row r="23" spans="1:6" ht="24.6">
      <c r="A23" s="1"/>
      <c r="B23" s="1"/>
      <c r="C23" s="1"/>
      <c r="D23" s="1"/>
      <c r="E23" s="1"/>
      <c r="F23" s="1"/>
    </row>
    <row r="24" spans="1:6" ht="24.6">
      <c r="A24" s="1"/>
      <c r="B24" s="1"/>
      <c r="C24" s="1"/>
      <c r="D24" s="1"/>
      <c r="E24" s="1"/>
      <c r="F24" s="1"/>
    </row>
    <row r="25" spans="1:6" ht="24.6">
      <c r="A25" s="1"/>
      <c r="B25" s="1"/>
      <c r="C25" s="1"/>
      <c r="D25" s="1"/>
      <c r="E25" s="1"/>
      <c r="F25" s="1"/>
    </row>
    <row r="26" spans="1:6" ht="24.6">
      <c r="A26" s="1"/>
      <c r="B26" s="1"/>
      <c r="C26" s="1"/>
      <c r="D26" s="1"/>
      <c r="E26" s="1"/>
      <c r="F26" s="1"/>
    </row>
    <row r="27" spans="1:6" ht="24.6">
      <c r="A27" s="1"/>
      <c r="B27" s="1"/>
      <c r="C27" s="1"/>
      <c r="D27" s="1"/>
      <c r="E27" s="1"/>
      <c r="F27" s="1"/>
    </row>
    <row r="28" spans="1:6" ht="24.6">
      <c r="A28" s="1"/>
      <c r="B28" s="1"/>
      <c r="C28" s="1"/>
      <c r="D28" s="1"/>
      <c r="E28" s="1"/>
      <c r="F28" s="1"/>
    </row>
    <row r="29" spans="1:6" ht="24.6">
      <c r="A29" s="1"/>
      <c r="B29" s="1"/>
      <c r="C29" s="1"/>
      <c r="D29" s="1"/>
      <c r="E29" s="1"/>
      <c r="F29" s="1"/>
    </row>
    <row r="30" spans="1:6" ht="24.6">
      <c r="A30" s="1"/>
      <c r="B30" s="1"/>
      <c r="C30" s="1"/>
      <c r="D30" s="1"/>
      <c r="E30" s="1"/>
      <c r="F30" s="1"/>
    </row>
    <row r="31" spans="1:6" ht="24.6">
      <c r="A31" s="1"/>
      <c r="B31" s="1"/>
      <c r="C31" s="1"/>
      <c r="D31" s="1"/>
      <c r="E31" s="1"/>
      <c r="F31" s="1"/>
    </row>
    <row r="32" spans="1:6" ht="24.6">
      <c r="A32" s="1"/>
      <c r="B32" s="1"/>
      <c r="C32" s="1"/>
      <c r="D32" s="1"/>
      <c r="E32" s="1"/>
      <c r="F32" s="1"/>
    </row>
    <row r="33" spans="1:6" ht="24.6">
      <c r="A33" s="1"/>
      <c r="B33" s="1"/>
      <c r="C33" s="1"/>
      <c r="D33" s="1"/>
      <c r="E33" s="1"/>
      <c r="F33" s="1"/>
    </row>
    <row r="34" spans="1:6" ht="24.6">
      <c r="A34" s="1"/>
      <c r="B34" s="1"/>
      <c r="C34" s="1"/>
      <c r="D34" s="1"/>
      <c r="E34" s="1"/>
      <c r="F34" s="1"/>
    </row>
    <row r="35" spans="1:6" ht="24.6">
      <c r="A35" s="1"/>
      <c r="B35" s="1"/>
      <c r="C35" s="1"/>
      <c r="D35" s="1"/>
      <c r="E35" s="1"/>
      <c r="F35" s="1"/>
    </row>
    <row r="36" spans="1:6" ht="24.6">
      <c r="A36" s="1"/>
      <c r="B36" s="1"/>
      <c r="C36" s="1"/>
      <c r="D36" s="1"/>
      <c r="E36" s="1"/>
      <c r="F36" s="1"/>
    </row>
    <row r="37" spans="1:6" ht="24.6">
      <c r="A37" s="1"/>
      <c r="B37" s="1"/>
      <c r="C37" s="1"/>
      <c r="D37" s="1"/>
      <c r="E37" s="1"/>
      <c r="F37" s="1"/>
    </row>
    <row r="38" spans="1:6" ht="24.6">
      <c r="A38" s="1"/>
      <c r="B38" s="1"/>
      <c r="C38" s="1"/>
      <c r="D38" s="1"/>
      <c r="E38" s="1"/>
      <c r="F38" s="1"/>
    </row>
    <row r="39" spans="1:6" ht="24.6">
      <c r="A39" s="1"/>
      <c r="B39" s="1"/>
      <c r="C39" s="1"/>
      <c r="D39" s="1"/>
      <c r="E39" s="1"/>
      <c r="F39" s="1"/>
    </row>
    <row r="40" spans="1:6" ht="24.6">
      <c r="A40" s="1"/>
      <c r="B40" s="1"/>
      <c r="C40" s="1"/>
      <c r="D40" s="1"/>
      <c r="E40" s="1"/>
      <c r="F40" s="1"/>
    </row>
    <row r="41" spans="1:6" ht="24.6">
      <c r="A41" s="1"/>
      <c r="B41" s="1"/>
      <c r="C41" s="1"/>
      <c r="D41" s="1"/>
      <c r="E41" s="1"/>
      <c r="F41" s="1"/>
    </row>
    <row r="42" spans="1:6" ht="24.6">
      <c r="A42" s="1"/>
      <c r="B42" s="1"/>
      <c r="C42" s="1"/>
      <c r="D42" s="1"/>
      <c r="E42" s="1"/>
      <c r="F42" s="1"/>
    </row>
    <row r="43" spans="1:6" ht="24.6">
      <c r="A43" s="1"/>
      <c r="B43" s="1"/>
      <c r="C43" s="1"/>
      <c r="D43" s="1"/>
      <c r="E43" s="1"/>
      <c r="F43" s="1"/>
    </row>
    <row r="44" spans="1:6" ht="24.6">
      <c r="A44" s="1"/>
      <c r="B44" s="1"/>
      <c r="C44" s="1"/>
      <c r="D44" s="1"/>
      <c r="E44" s="1"/>
      <c r="F44" s="1"/>
    </row>
    <row r="45" spans="1:6" ht="24.6">
      <c r="A45" s="1"/>
      <c r="B45" s="1"/>
      <c r="C45" s="1"/>
      <c r="D45" s="1"/>
      <c r="E45" s="1"/>
      <c r="F45" s="1"/>
    </row>
    <row r="46" spans="1:6" ht="24.6">
      <c r="A46" s="1"/>
      <c r="B46" s="1"/>
      <c r="C46" s="1"/>
      <c r="D46" s="1"/>
      <c r="E46" s="1"/>
      <c r="F46" s="1"/>
    </row>
  </sheetData>
  <mergeCells count="2">
    <mergeCell ref="A1:F1"/>
    <mergeCell ref="A7:C7"/>
  </mergeCells>
  <hyperlinks>
    <hyperlink ref="G1" location="'1.โครงการพัฒนาศักยภาพ บริหาร'!A1" display="โครงกาบริหารธุรกิจ"/>
  </hyperlinks>
  <pageMargins left="3.937007874015748E-2" right="3.937007874015748E-2" top="0.74803149606299213" bottom="0.74803149606299213" header="0.31496062992125984" footer="0.31496062992125984"/>
  <pageSetup paperSize="9"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>
      <selection activeCell="G1" sqref="G1"/>
    </sheetView>
  </sheetViews>
  <sheetFormatPr defaultRowHeight="14.4"/>
  <cols>
    <col min="1" max="1" width="13.44140625" customWidth="1"/>
    <col min="2" max="2" width="15.88671875" customWidth="1"/>
    <col min="3" max="3" width="70.33203125" customWidth="1"/>
    <col min="4" max="4" width="12.88671875" customWidth="1"/>
    <col min="5" max="5" width="13.88671875" customWidth="1"/>
    <col min="6" max="6" width="12.77734375" customWidth="1"/>
  </cols>
  <sheetData>
    <row r="1" spans="1:7" ht="24" customHeight="1">
      <c r="A1" s="125" t="s">
        <v>42</v>
      </c>
      <c r="B1" s="125"/>
      <c r="C1" s="125"/>
      <c r="D1" s="125"/>
      <c r="E1" s="125"/>
      <c r="F1" s="125"/>
      <c r="G1" s="6" t="s">
        <v>44</v>
      </c>
    </row>
    <row r="2" spans="1:7" ht="24" customHeight="1">
      <c r="A2" s="56"/>
      <c r="B2" s="56"/>
      <c r="C2" s="56" t="s">
        <v>27</v>
      </c>
      <c r="D2" s="56"/>
      <c r="E2" s="56"/>
      <c r="F2" s="57">
        <f>F4-D5</f>
        <v>14800</v>
      </c>
      <c r="G2" s="6"/>
    </row>
    <row r="3" spans="1:7" ht="24.6">
      <c r="A3" s="21" t="s">
        <v>20</v>
      </c>
      <c r="B3" s="21" t="s">
        <v>21</v>
      </c>
      <c r="C3" s="21" t="s">
        <v>6</v>
      </c>
      <c r="D3" s="21" t="s">
        <v>14</v>
      </c>
      <c r="E3" s="21" t="s">
        <v>7</v>
      </c>
      <c r="F3" s="21" t="s">
        <v>4</v>
      </c>
    </row>
    <row r="4" spans="1:7" ht="24.6">
      <c r="A4" s="11"/>
      <c r="B4" s="11"/>
      <c r="C4" s="20" t="s">
        <v>42</v>
      </c>
      <c r="D4" s="13">
        <v>14800</v>
      </c>
      <c r="E4" s="13"/>
      <c r="F4" s="13">
        <f>D4-E4</f>
        <v>14800</v>
      </c>
    </row>
    <row r="5" spans="1:7" ht="72" customHeight="1">
      <c r="A5" s="14" t="s">
        <v>206</v>
      </c>
      <c r="B5" s="14" t="s">
        <v>208</v>
      </c>
      <c r="C5" s="15" t="s">
        <v>207</v>
      </c>
      <c r="D5" s="13"/>
      <c r="E5" s="13">
        <v>14400</v>
      </c>
      <c r="F5" s="13">
        <f>F4-E5</f>
        <v>400</v>
      </c>
    </row>
    <row r="6" spans="1:7" ht="24.6">
      <c r="A6" s="126" t="s">
        <v>5</v>
      </c>
      <c r="B6" s="127"/>
      <c r="C6" s="128"/>
      <c r="D6" s="38">
        <f>D4</f>
        <v>14800</v>
      </c>
      <c r="E6" s="38">
        <f>SUM(E5:E5)</f>
        <v>14400</v>
      </c>
      <c r="F6" s="38">
        <f>D6-E6</f>
        <v>400</v>
      </c>
    </row>
    <row r="7" spans="1:7" ht="24.6">
      <c r="A7" s="1"/>
      <c r="B7" s="1"/>
      <c r="C7" s="1"/>
      <c r="D7" s="1"/>
      <c r="E7" s="1"/>
      <c r="F7" s="1"/>
    </row>
    <row r="8" spans="1:7" ht="24.6">
      <c r="A8" s="1"/>
      <c r="B8" s="1"/>
      <c r="C8" s="1" t="s">
        <v>16</v>
      </c>
      <c r="D8" s="1"/>
      <c r="E8" s="1"/>
      <c r="F8" s="1"/>
    </row>
    <row r="9" spans="1:7" ht="24.6">
      <c r="A9" s="1"/>
      <c r="B9" s="1"/>
      <c r="C9" s="1"/>
      <c r="D9" s="1"/>
      <c r="E9" s="1"/>
      <c r="F9" s="1"/>
    </row>
    <row r="10" spans="1:7" ht="24.6">
      <c r="A10" s="1"/>
      <c r="B10" s="1"/>
      <c r="C10" s="1"/>
      <c r="D10" s="1"/>
      <c r="E10" s="1"/>
      <c r="F10" s="1"/>
    </row>
    <row r="11" spans="1:7" ht="24.6">
      <c r="A11" s="1"/>
      <c r="B11" s="1"/>
      <c r="C11" s="1" t="s">
        <v>15</v>
      </c>
      <c r="D11" s="1"/>
      <c r="E11" s="1"/>
      <c r="F11" s="1"/>
    </row>
    <row r="12" spans="1:7" ht="24.6">
      <c r="A12" s="1"/>
      <c r="B12" s="1"/>
      <c r="C12" s="1"/>
      <c r="D12" s="1"/>
      <c r="E12" s="1"/>
      <c r="F12" s="1"/>
    </row>
    <row r="13" spans="1:7" ht="24.6">
      <c r="A13" s="1"/>
      <c r="B13" s="1"/>
      <c r="C13" s="1"/>
      <c r="D13" s="1"/>
      <c r="E13" s="1"/>
      <c r="F13" s="1"/>
    </row>
    <row r="14" spans="1:7" ht="24.6">
      <c r="A14" s="1"/>
      <c r="B14" s="1"/>
      <c r="C14" s="1"/>
      <c r="D14" s="1"/>
      <c r="E14" s="1"/>
      <c r="F14" s="1"/>
    </row>
    <row r="15" spans="1:7" ht="24.6">
      <c r="A15" s="1"/>
      <c r="B15" s="1"/>
      <c r="C15" s="1"/>
      <c r="D15" s="1"/>
      <c r="E15" s="1"/>
      <c r="F15" s="1"/>
    </row>
    <row r="16" spans="1:7" ht="24.6">
      <c r="A16" s="1"/>
      <c r="B16" s="1"/>
      <c r="C16" s="1"/>
      <c r="D16" s="1"/>
      <c r="E16" s="1"/>
      <c r="F16" s="1"/>
    </row>
    <row r="17" spans="1:6" ht="24.6">
      <c r="A17" s="1"/>
      <c r="B17" s="1"/>
      <c r="C17" s="1"/>
      <c r="D17" s="1"/>
      <c r="E17" s="1"/>
      <c r="F17" s="1"/>
    </row>
    <row r="18" spans="1:6" ht="24.6">
      <c r="A18" s="1"/>
      <c r="B18" s="1"/>
      <c r="C18" s="1"/>
      <c r="D18" s="1"/>
      <c r="E18" s="1"/>
      <c r="F18" s="1"/>
    </row>
    <row r="19" spans="1:6" ht="24.6">
      <c r="A19" s="1"/>
      <c r="B19" s="1"/>
      <c r="C19" s="1"/>
      <c r="D19" s="1"/>
      <c r="E19" s="1"/>
      <c r="F19" s="1"/>
    </row>
    <row r="20" spans="1:6" ht="24.6">
      <c r="A20" s="1"/>
      <c r="B20" s="1"/>
      <c r="C20" s="1"/>
      <c r="D20" s="1"/>
      <c r="E20" s="1"/>
      <c r="F20" s="1"/>
    </row>
    <row r="21" spans="1:6" ht="24.6">
      <c r="A21" s="1"/>
      <c r="B21" s="1"/>
      <c r="C21" s="1"/>
      <c r="D21" s="1"/>
      <c r="E21" s="1"/>
      <c r="F21" s="1"/>
    </row>
    <row r="22" spans="1:6" ht="24.6">
      <c r="A22" s="1"/>
      <c r="B22" s="1"/>
      <c r="C22" s="1"/>
      <c r="D22" s="1"/>
      <c r="E22" s="1"/>
      <c r="F22" s="1"/>
    </row>
    <row r="23" spans="1:6" ht="24.6">
      <c r="A23" s="1"/>
      <c r="B23" s="1"/>
      <c r="C23" s="1"/>
      <c r="D23" s="1"/>
      <c r="E23" s="1"/>
      <c r="F23" s="1"/>
    </row>
    <row r="24" spans="1:6" ht="24.6">
      <c r="A24" s="1"/>
      <c r="B24" s="1"/>
      <c r="C24" s="1"/>
      <c r="D24" s="1"/>
      <c r="E24" s="1"/>
      <c r="F24" s="1"/>
    </row>
    <row r="25" spans="1:6" ht="24.6">
      <c r="A25" s="1"/>
      <c r="B25" s="1"/>
      <c r="C25" s="1"/>
      <c r="D25" s="1"/>
      <c r="E25" s="1"/>
      <c r="F25" s="1"/>
    </row>
    <row r="26" spans="1:6" ht="24.6">
      <c r="A26" s="1"/>
      <c r="B26" s="1"/>
      <c r="C26" s="1"/>
      <c r="D26" s="1"/>
      <c r="E26" s="1"/>
      <c r="F26" s="1"/>
    </row>
    <row r="27" spans="1:6" ht="24.6">
      <c r="A27" s="1"/>
      <c r="B27" s="1"/>
      <c r="C27" s="1"/>
      <c r="D27" s="1"/>
      <c r="E27" s="1"/>
      <c r="F27" s="1"/>
    </row>
    <row r="28" spans="1:6" ht="24.6">
      <c r="A28" s="1"/>
      <c r="B28" s="1"/>
      <c r="C28" s="1"/>
      <c r="D28" s="1"/>
      <c r="E28" s="1"/>
      <c r="F28" s="1"/>
    </row>
    <row r="29" spans="1:6" ht="24.6">
      <c r="A29" s="1"/>
      <c r="B29" s="1"/>
      <c r="C29" s="1"/>
      <c r="D29" s="1"/>
      <c r="E29" s="1"/>
      <c r="F29" s="1"/>
    </row>
    <row r="30" spans="1:6" ht="24.6">
      <c r="A30" s="1"/>
      <c r="B30" s="1"/>
      <c r="C30" s="1"/>
      <c r="D30" s="1"/>
      <c r="E30" s="1"/>
      <c r="F30" s="1"/>
    </row>
    <row r="31" spans="1:6" ht="24.6">
      <c r="A31" s="1"/>
      <c r="B31" s="1"/>
      <c r="C31" s="1"/>
      <c r="D31" s="1"/>
      <c r="E31" s="1"/>
      <c r="F31" s="1"/>
    </row>
    <row r="32" spans="1:6" ht="24.6">
      <c r="A32" s="1"/>
      <c r="B32" s="1"/>
      <c r="C32" s="1"/>
      <c r="D32" s="1"/>
      <c r="E32" s="1"/>
      <c r="F32" s="1"/>
    </row>
    <row r="33" spans="1:6" ht="24.6">
      <c r="A33" s="1"/>
      <c r="B33" s="1"/>
      <c r="C33" s="1"/>
      <c r="D33" s="1"/>
      <c r="E33" s="1"/>
      <c r="F33" s="1"/>
    </row>
    <row r="34" spans="1:6" ht="24.6">
      <c r="A34" s="1"/>
      <c r="B34" s="1"/>
      <c r="C34" s="1"/>
      <c r="D34" s="1"/>
      <c r="E34" s="1"/>
      <c r="F34" s="1"/>
    </row>
    <row r="35" spans="1:6" ht="24.6">
      <c r="A35" s="1"/>
      <c r="B35" s="1"/>
      <c r="C35" s="1"/>
      <c r="D35" s="1"/>
      <c r="E35" s="1"/>
      <c r="F35" s="1"/>
    </row>
    <row r="36" spans="1:6" ht="24.6">
      <c r="A36" s="1"/>
      <c r="B36" s="1"/>
      <c r="C36" s="1"/>
      <c r="D36" s="1"/>
      <c r="E36" s="1"/>
      <c r="F36" s="1"/>
    </row>
    <row r="37" spans="1:6" ht="24.6">
      <c r="A37" s="1"/>
      <c r="B37" s="1"/>
      <c r="C37" s="1"/>
      <c r="D37" s="1"/>
      <c r="E37" s="1"/>
      <c r="F37" s="1"/>
    </row>
    <row r="38" spans="1:6" ht="24.6">
      <c r="A38" s="1"/>
      <c r="B38" s="1"/>
      <c r="C38" s="1"/>
      <c r="D38" s="1"/>
      <c r="E38" s="1"/>
      <c r="F38" s="1"/>
    </row>
    <row r="39" spans="1:6" ht="24.6">
      <c r="A39" s="1"/>
      <c r="B39" s="1"/>
      <c r="C39" s="1"/>
      <c r="D39" s="1"/>
      <c r="E39" s="1"/>
      <c r="F39" s="1"/>
    </row>
    <row r="40" spans="1:6" ht="24.6">
      <c r="A40" s="1"/>
      <c r="B40" s="1"/>
      <c r="C40" s="1"/>
      <c r="D40" s="1"/>
      <c r="E40" s="1"/>
      <c r="F40" s="1"/>
    </row>
    <row r="41" spans="1:6" ht="24.6">
      <c r="A41" s="1"/>
      <c r="B41" s="1"/>
      <c r="C41" s="1"/>
      <c r="D41" s="1"/>
      <c r="E41" s="1"/>
      <c r="F41" s="1"/>
    </row>
    <row r="42" spans="1:6" ht="24.6">
      <c r="A42" s="1"/>
      <c r="B42" s="1"/>
      <c r="C42" s="1"/>
      <c r="D42" s="1"/>
      <c r="E42" s="1"/>
      <c r="F42" s="1"/>
    </row>
    <row r="43" spans="1:6" ht="24.6">
      <c r="A43" s="1"/>
      <c r="B43" s="1"/>
      <c r="C43" s="1"/>
      <c r="D43" s="1"/>
      <c r="E43" s="1"/>
      <c r="F43" s="1"/>
    </row>
    <row r="44" spans="1:6" ht="24.6">
      <c r="A44" s="1"/>
      <c r="B44" s="1"/>
      <c r="C44" s="1"/>
      <c r="D44" s="1"/>
      <c r="E44" s="1"/>
      <c r="F44" s="1"/>
    </row>
    <row r="45" spans="1:6" ht="24.6">
      <c r="A45" s="1"/>
      <c r="B45" s="1"/>
      <c r="C45" s="1"/>
      <c r="D45" s="1"/>
      <c r="E45" s="1"/>
      <c r="F45" s="1"/>
    </row>
  </sheetData>
  <mergeCells count="2">
    <mergeCell ref="A1:F1"/>
    <mergeCell ref="A6:C6"/>
  </mergeCells>
  <hyperlinks>
    <hyperlink ref="G1" location="'1.โครงการพัฒนาศักยภาพ บริหาร'!A1" display="โครงกาบริหารธุรกิจ"/>
  </hyperlinks>
  <pageMargins left="3.937007874015748E-2" right="3.937007874015748E-2" top="0.74803149606299213" bottom="0.74803149606299213" header="0.31496062992125984" footer="0.31496062992125984"/>
  <pageSetup paperSize="9"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C00"/>
  </sheetPr>
  <dimension ref="A1:G15"/>
  <sheetViews>
    <sheetView workbookViewId="0">
      <selection activeCell="G1" sqref="G1"/>
    </sheetView>
  </sheetViews>
  <sheetFormatPr defaultColWidth="9.109375" defaultRowHeight="24.6"/>
  <cols>
    <col min="1" max="1" width="9.109375" style="1"/>
    <col min="2" max="2" width="13.33203125" style="3" customWidth="1"/>
    <col min="3" max="3" width="68.33203125" style="1" customWidth="1"/>
    <col min="4" max="4" width="15.77734375" style="4" customWidth="1"/>
    <col min="5" max="5" width="15.33203125" style="4" customWidth="1"/>
    <col min="6" max="6" width="14.6640625" style="4" customWidth="1"/>
    <col min="7" max="16384" width="9.109375" style="1"/>
  </cols>
  <sheetData>
    <row r="1" spans="1:7" ht="24" customHeight="1">
      <c r="A1" s="129" t="s">
        <v>46</v>
      </c>
      <c r="B1" s="130"/>
      <c r="C1" s="130"/>
      <c r="D1" s="130"/>
      <c r="E1" s="130"/>
      <c r="F1" s="130"/>
      <c r="G1" s="6" t="s">
        <v>8</v>
      </c>
    </row>
    <row r="2" spans="1:7">
      <c r="A2" s="117" t="s">
        <v>49</v>
      </c>
      <c r="B2" s="117"/>
      <c r="C2" s="117"/>
      <c r="D2" s="117"/>
      <c r="E2" s="117"/>
      <c r="F2" s="117"/>
    </row>
    <row r="3" spans="1:7" s="2" customFormat="1" ht="30" customHeight="1">
      <c r="A3" s="28" t="s">
        <v>20</v>
      </c>
      <c r="B3" s="28" t="s">
        <v>21</v>
      </c>
      <c r="C3" s="28" t="s">
        <v>1</v>
      </c>
      <c r="D3" s="29" t="s">
        <v>18</v>
      </c>
      <c r="E3" s="29" t="s">
        <v>3</v>
      </c>
      <c r="F3" s="29" t="s">
        <v>4</v>
      </c>
    </row>
    <row r="4" spans="1:7" ht="96" customHeight="1">
      <c r="A4" s="63"/>
      <c r="B4" s="64"/>
      <c r="C4" s="65" t="s">
        <v>48</v>
      </c>
      <c r="D4" s="32">
        <v>21200</v>
      </c>
      <c r="E4" s="32"/>
      <c r="F4" s="32">
        <f>D4-E4</f>
        <v>21200</v>
      </c>
    </row>
    <row r="5" spans="1:7" ht="48" customHeight="1">
      <c r="A5" s="112" t="s">
        <v>576</v>
      </c>
      <c r="B5" s="113" t="s">
        <v>578</v>
      </c>
      <c r="C5" s="15" t="s">
        <v>577</v>
      </c>
      <c r="D5" s="34"/>
      <c r="E5" s="34">
        <v>3800</v>
      </c>
      <c r="F5" s="34">
        <f>F4-E5</f>
        <v>17400</v>
      </c>
    </row>
    <row r="6" spans="1:7" ht="48" customHeight="1">
      <c r="A6" s="63"/>
      <c r="B6" s="33"/>
      <c r="C6" s="35"/>
      <c r="D6" s="34"/>
      <c r="E6" s="34"/>
      <c r="F6" s="34">
        <f t="shared" ref="F6:F7" si="0">F5-E6</f>
        <v>17400</v>
      </c>
    </row>
    <row r="7" spans="1:7" ht="48" customHeight="1">
      <c r="A7" s="63"/>
      <c r="B7" s="33"/>
      <c r="C7" s="35"/>
      <c r="D7" s="34"/>
      <c r="E7" s="34"/>
      <c r="F7" s="34">
        <f t="shared" si="0"/>
        <v>17400</v>
      </c>
    </row>
    <row r="8" spans="1:7">
      <c r="A8" s="118" t="s">
        <v>5</v>
      </c>
      <c r="B8" s="131"/>
      <c r="C8" s="119"/>
      <c r="D8" s="32">
        <f>SUM(D4:D7)</f>
        <v>21200</v>
      </c>
      <c r="E8" s="32">
        <f>SUM(E4:E7)</f>
        <v>3800</v>
      </c>
      <c r="F8" s="32">
        <f>SUM(F5:F7)</f>
        <v>52200</v>
      </c>
    </row>
    <row r="9" spans="1:7">
      <c r="A9" s="20"/>
      <c r="B9" s="40"/>
      <c r="C9" s="20"/>
      <c r="D9" s="41"/>
      <c r="E9" s="41"/>
      <c r="F9" s="41"/>
    </row>
    <row r="10" spans="1:7">
      <c r="A10" s="20"/>
      <c r="B10" s="40"/>
      <c r="C10" s="20"/>
      <c r="D10" s="41"/>
      <c r="E10" s="41"/>
      <c r="F10" s="41"/>
    </row>
    <row r="11" spans="1:7">
      <c r="A11" s="20"/>
      <c r="B11" s="40"/>
      <c r="C11" s="20"/>
      <c r="D11" s="41"/>
      <c r="E11" s="41"/>
      <c r="F11" s="41"/>
    </row>
    <row r="12" spans="1:7">
      <c r="A12" s="20"/>
      <c r="B12" s="40"/>
      <c r="C12" s="20"/>
      <c r="D12" s="41"/>
      <c r="E12" s="41"/>
      <c r="F12" s="41"/>
    </row>
    <row r="13" spans="1:7">
      <c r="A13" s="20"/>
      <c r="B13" s="40"/>
      <c r="C13" s="20"/>
      <c r="D13" s="41"/>
      <c r="E13" s="41"/>
      <c r="F13" s="41"/>
    </row>
    <row r="14" spans="1:7">
      <c r="A14" s="20"/>
      <c r="B14" s="40"/>
      <c r="C14" s="20"/>
      <c r="D14" s="41"/>
      <c r="E14" s="41"/>
      <c r="F14" s="41"/>
    </row>
    <row r="15" spans="1:7">
      <c r="A15" s="20"/>
      <c r="B15" s="40"/>
      <c r="C15" s="20"/>
      <c r="D15" s="41"/>
      <c r="E15" s="41"/>
      <c r="F15" s="41"/>
    </row>
  </sheetData>
  <mergeCells count="3">
    <mergeCell ref="A1:F1"/>
    <mergeCell ref="A2:F2"/>
    <mergeCell ref="A8:C8"/>
  </mergeCells>
  <hyperlinks>
    <hyperlink ref="G1" location="หน้าหลัก!A1" display="หน้าหลัก"/>
  </hyperlinks>
  <pageMargins left="0.7" right="0.7" top="0.75" bottom="0.75" header="0.3" footer="0.3"/>
  <pageSetup paperSize="9" orientation="landscape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CCFF"/>
  </sheetPr>
  <dimension ref="A1:F10"/>
  <sheetViews>
    <sheetView workbookViewId="0">
      <selection activeCell="F1" sqref="F1"/>
    </sheetView>
  </sheetViews>
  <sheetFormatPr defaultColWidth="9.109375" defaultRowHeight="24.6"/>
  <cols>
    <col min="1" max="1" width="13.33203125" style="3" customWidth="1"/>
    <col min="2" max="2" width="68.33203125" style="1" customWidth="1"/>
    <col min="3" max="3" width="15.77734375" style="4" customWidth="1"/>
    <col min="4" max="4" width="15.33203125" style="4" customWidth="1"/>
    <col min="5" max="5" width="14.6640625" style="4" customWidth="1"/>
    <col min="6" max="16384" width="9.109375" style="1"/>
  </cols>
  <sheetData>
    <row r="1" spans="1:6" ht="48" customHeight="1">
      <c r="A1" s="129" t="s">
        <v>50</v>
      </c>
      <c r="B1" s="130"/>
      <c r="C1" s="130"/>
      <c r="D1" s="130"/>
      <c r="E1" s="130"/>
      <c r="F1" s="6" t="s">
        <v>8</v>
      </c>
    </row>
    <row r="2" spans="1:6">
      <c r="A2" s="117" t="s">
        <v>27</v>
      </c>
      <c r="B2" s="117"/>
      <c r="C2" s="117"/>
      <c r="D2" s="117"/>
      <c r="E2" s="117"/>
    </row>
    <row r="3" spans="1:6" s="2" customFormat="1" ht="30" customHeight="1">
      <c r="A3" s="28" t="s">
        <v>0</v>
      </c>
      <c r="B3" s="28" t="s">
        <v>1</v>
      </c>
      <c r="C3" s="29" t="s">
        <v>18</v>
      </c>
      <c r="D3" s="29" t="s">
        <v>3</v>
      </c>
      <c r="E3" s="29" t="s">
        <v>4</v>
      </c>
    </row>
    <row r="4" spans="1:6">
      <c r="A4" s="30"/>
      <c r="B4" s="31" t="s">
        <v>19</v>
      </c>
      <c r="C4" s="32">
        <v>75200</v>
      </c>
      <c r="D4" s="32"/>
      <c r="E4" s="32">
        <f>C4-D4</f>
        <v>75200</v>
      </c>
    </row>
    <row r="5" spans="1:6" ht="24" customHeight="1">
      <c r="A5" s="61" t="s">
        <v>25</v>
      </c>
      <c r="B5" s="15" t="s">
        <v>51</v>
      </c>
      <c r="C5" s="34">
        <f>'กิจกรรมที่ 3.1'!D8</f>
        <v>19900</v>
      </c>
      <c r="D5" s="34">
        <f>'กิจกรรมที่ 3.1'!E8</f>
        <v>19900</v>
      </c>
      <c r="E5" s="34">
        <f>C5-D5</f>
        <v>0</v>
      </c>
    </row>
    <row r="6" spans="1:6" ht="24" customHeight="1">
      <c r="A6" s="61" t="s">
        <v>26</v>
      </c>
      <c r="B6" s="35" t="s">
        <v>53</v>
      </c>
      <c r="C6" s="34">
        <f>'กิจกรรมที่ 3.2'!D7</f>
        <v>55300</v>
      </c>
      <c r="D6" s="34">
        <f>'กิจกรรมที่ 3.2'!E7</f>
        <v>55300</v>
      </c>
      <c r="E6" s="34">
        <f t="shared" ref="E6:E7" si="0">C6-D6</f>
        <v>0</v>
      </c>
    </row>
    <row r="7" spans="1:6">
      <c r="A7" s="118" t="s">
        <v>5</v>
      </c>
      <c r="B7" s="119"/>
      <c r="C7" s="32">
        <f>SUM(C5:C6)</f>
        <v>75200</v>
      </c>
      <c r="D7" s="32">
        <f>D5+D6</f>
        <v>75200</v>
      </c>
      <c r="E7" s="32">
        <f t="shared" si="0"/>
        <v>0</v>
      </c>
    </row>
    <row r="8" spans="1:6">
      <c r="A8" s="40"/>
      <c r="B8" s="20"/>
      <c r="C8" s="41"/>
      <c r="D8" s="41"/>
      <c r="E8" s="41"/>
    </row>
    <row r="9" spans="1:6">
      <c r="A9" s="40"/>
      <c r="B9" s="20"/>
      <c r="C9" s="41"/>
      <c r="D9" s="41"/>
      <c r="E9" s="41"/>
    </row>
    <row r="10" spans="1:6">
      <c r="A10" s="40"/>
      <c r="B10" s="20"/>
      <c r="C10" s="41"/>
      <c r="D10" s="41"/>
      <c r="E10" s="41"/>
    </row>
  </sheetData>
  <mergeCells count="3">
    <mergeCell ref="A1:E1"/>
    <mergeCell ref="A2:E2"/>
    <mergeCell ref="A7:B7"/>
  </mergeCells>
  <hyperlinks>
    <hyperlink ref="F1" location="หน้าหลัก!A1" display="หน้าหลัก"/>
    <hyperlink ref="A5" location="'กิจกรรมที่ 3.1'!A1" display="กิจกรรมที่ 3.1"/>
    <hyperlink ref="A6" location="'กิจกรรมที่ 3.2'!A1" display="กิจกรรมที่ 3.2"/>
  </hyperlinks>
  <pageMargins left="0.7" right="0.7" top="0.75" bottom="0.75" header="0.3" footer="0.3"/>
  <pageSetup paperSize="9" orientation="landscape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workbookViewId="0">
      <selection activeCell="G1" sqref="G1"/>
    </sheetView>
  </sheetViews>
  <sheetFormatPr defaultRowHeight="14.4"/>
  <cols>
    <col min="1" max="1" width="13.44140625" customWidth="1"/>
    <col min="2" max="2" width="18.109375" customWidth="1"/>
    <col min="3" max="3" width="70.33203125" customWidth="1"/>
    <col min="4" max="4" width="12.88671875" customWidth="1"/>
    <col min="5" max="5" width="13.88671875" customWidth="1"/>
    <col min="6" max="6" width="12.77734375" customWidth="1"/>
  </cols>
  <sheetData>
    <row r="1" spans="1:7" ht="24" customHeight="1">
      <c r="A1" s="120" t="s">
        <v>51</v>
      </c>
      <c r="B1" s="121"/>
      <c r="C1" s="121"/>
      <c r="D1" s="121"/>
      <c r="E1" s="121"/>
      <c r="F1" s="121"/>
      <c r="G1" s="6" t="s">
        <v>55</v>
      </c>
    </row>
    <row r="2" spans="1:7" ht="24" customHeight="1">
      <c r="A2" s="58"/>
      <c r="B2" s="58"/>
      <c r="C2" s="58" t="s">
        <v>52</v>
      </c>
      <c r="D2" s="58"/>
      <c r="E2" s="58"/>
      <c r="F2" s="58"/>
      <c r="G2" s="6"/>
    </row>
    <row r="3" spans="1:7" ht="24.6">
      <c r="A3" s="5" t="s">
        <v>20</v>
      </c>
      <c r="B3" s="5" t="s">
        <v>21</v>
      </c>
      <c r="C3" s="5" t="s">
        <v>6</v>
      </c>
      <c r="D3" s="5" t="s">
        <v>14</v>
      </c>
      <c r="E3" s="5" t="s">
        <v>7</v>
      </c>
      <c r="F3" s="5" t="s">
        <v>4</v>
      </c>
    </row>
    <row r="4" spans="1:7" ht="24.6">
      <c r="A4" s="11"/>
      <c r="B4" s="11"/>
      <c r="C4" s="15" t="s">
        <v>51</v>
      </c>
      <c r="D4" s="13">
        <v>19900</v>
      </c>
      <c r="E4" s="13"/>
      <c r="F4" s="13">
        <f>D4-E4</f>
        <v>19900</v>
      </c>
      <c r="G4" s="25"/>
    </row>
    <row r="5" spans="1:7" ht="48" customHeight="1">
      <c r="A5" s="14" t="s">
        <v>328</v>
      </c>
      <c r="B5" s="77" t="s">
        <v>329</v>
      </c>
      <c r="C5" s="15" t="s">
        <v>330</v>
      </c>
      <c r="D5" s="13">
        <v>11200</v>
      </c>
      <c r="E5" s="13"/>
      <c r="F5" s="13">
        <f>F4-E5</f>
        <v>19900</v>
      </c>
      <c r="G5" s="25"/>
    </row>
    <row r="6" spans="1:7" ht="98.4">
      <c r="A6" s="14" t="s">
        <v>432</v>
      </c>
      <c r="B6" s="14" t="s">
        <v>436</v>
      </c>
      <c r="C6" s="15" t="s">
        <v>437</v>
      </c>
      <c r="D6" s="13"/>
      <c r="E6" s="13">
        <v>8700</v>
      </c>
      <c r="F6" s="13">
        <f>F5-E6</f>
        <v>11200</v>
      </c>
      <c r="G6" s="25"/>
    </row>
    <row r="7" spans="1:7" ht="98.4">
      <c r="A7" s="14" t="s">
        <v>434</v>
      </c>
      <c r="B7" s="14" t="s">
        <v>435</v>
      </c>
      <c r="C7" s="15" t="s">
        <v>438</v>
      </c>
      <c r="D7" s="13"/>
      <c r="E7" s="13">
        <v>11200</v>
      </c>
      <c r="F7" s="13">
        <f t="shared" ref="F7" si="0">F6-E7</f>
        <v>0</v>
      </c>
      <c r="G7" s="25"/>
    </row>
    <row r="8" spans="1:7" ht="24.6">
      <c r="A8" s="122" t="s">
        <v>5</v>
      </c>
      <c r="B8" s="123"/>
      <c r="C8" s="124"/>
      <c r="D8" s="7">
        <f>D4</f>
        <v>19900</v>
      </c>
      <c r="E8" s="7">
        <f>SUM(E4:E7)</f>
        <v>19900</v>
      </c>
      <c r="F8" s="13">
        <f>D8-E8</f>
        <v>0</v>
      </c>
    </row>
    <row r="9" spans="1:7" ht="24.6">
      <c r="A9" s="1"/>
      <c r="B9" s="1"/>
      <c r="C9" s="1"/>
      <c r="D9" s="1"/>
      <c r="E9" s="1"/>
      <c r="F9" s="1"/>
    </row>
    <row r="10" spans="1:7" ht="24.6">
      <c r="A10" s="1"/>
      <c r="B10" s="20"/>
      <c r="C10" s="20" t="s">
        <v>35</v>
      </c>
      <c r="D10" s="20"/>
      <c r="E10" s="20"/>
      <c r="F10" s="20"/>
      <c r="G10" s="25"/>
    </row>
    <row r="11" spans="1:7" ht="24.6">
      <c r="A11" s="1"/>
      <c r="B11" s="20"/>
      <c r="C11" s="20" t="s">
        <v>433</v>
      </c>
      <c r="D11" s="20"/>
      <c r="E11" s="20"/>
      <c r="F11" s="20"/>
      <c r="G11" s="25"/>
    </row>
    <row r="12" spans="1:7" ht="24.6">
      <c r="A12" s="1"/>
      <c r="B12" s="20"/>
      <c r="C12" s="20"/>
      <c r="D12" s="20"/>
      <c r="E12" s="20"/>
      <c r="F12" s="20"/>
      <c r="G12" s="25"/>
    </row>
    <row r="13" spans="1:7" ht="24.6">
      <c r="A13" s="1"/>
      <c r="B13" s="1"/>
      <c r="C13" s="1" t="s">
        <v>15</v>
      </c>
      <c r="D13" s="1"/>
      <c r="E13" s="1"/>
      <c r="F13" s="1"/>
    </row>
    <row r="14" spans="1:7" ht="24.6">
      <c r="A14" s="1"/>
      <c r="B14" s="1"/>
      <c r="C14" s="1"/>
      <c r="D14" s="1"/>
      <c r="E14" s="1"/>
      <c r="F14" s="1"/>
    </row>
    <row r="15" spans="1:7" ht="24.6">
      <c r="A15" s="1"/>
      <c r="B15" s="1"/>
      <c r="C15" s="1"/>
      <c r="D15" s="1"/>
      <c r="E15" s="1"/>
      <c r="F15" s="1"/>
    </row>
    <row r="16" spans="1:7" ht="24.6">
      <c r="A16" s="1"/>
      <c r="B16" s="1"/>
      <c r="C16" s="1"/>
      <c r="D16" s="1"/>
      <c r="E16" s="1"/>
      <c r="F16" s="1"/>
    </row>
    <row r="17" spans="1:6" ht="24.6">
      <c r="A17" s="1"/>
      <c r="B17" s="1"/>
      <c r="C17" s="1"/>
      <c r="D17" s="1"/>
      <c r="E17" s="1"/>
      <c r="F17" s="1"/>
    </row>
    <row r="18" spans="1:6" ht="24.6">
      <c r="A18" s="1"/>
      <c r="B18" s="1"/>
      <c r="C18" s="1"/>
      <c r="D18" s="1"/>
      <c r="E18" s="1"/>
      <c r="F18" s="1"/>
    </row>
    <row r="19" spans="1:6" ht="24.6">
      <c r="A19" s="1"/>
      <c r="B19" s="1"/>
      <c r="C19" s="1"/>
      <c r="D19" s="1"/>
      <c r="E19" s="1"/>
      <c r="F19" s="1"/>
    </row>
    <row r="20" spans="1:6" ht="24.6">
      <c r="A20" s="1"/>
      <c r="B20" s="1"/>
      <c r="C20" s="1"/>
      <c r="D20" s="1"/>
      <c r="E20" s="1"/>
      <c r="F20" s="1"/>
    </row>
    <row r="21" spans="1:6" ht="24.6">
      <c r="A21" s="1"/>
      <c r="B21" s="1"/>
      <c r="C21" s="1"/>
      <c r="D21" s="1"/>
      <c r="E21" s="1"/>
      <c r="F21" s="1"/>
    </row>
    <row r="22" spans="1:6" ht="24.6">
      <c r="A22" s="1"/>
      <c r="B22" s="1"/>
      <c r="C22" s="1"/>
      <c r="D22" s="1"/>
      <c r="E22" s="1"/>
      <c r="F22" s="1"/>
    </row>
    <row r="23" spans="1:6" ht="24.6">
      <c r="A23" s="1"/>
      <c r="B23" s="1"/>
      <c r="C23" s="1"/>
      <c r="D23" s="1"/>
      <c r="E23" s="1"/>
      <c r="F23" s="1"/>
    </row>
    <row r="24" spans="1:6" ht="24.6">
      <c r="A24" s="1"/>
      <c r="B24" s="1"/>
      <c r="C24" s="1"/>
      <c r="D24" s="1"/>
      <c r="E24" s="1"/>
      <c r="F24" s="1"/>
    </row>
    <row r="25" spans="1:6" ht="24.6">
      <c r="A25" s="1"/>
      <c r="B25" s="1"/>
      <c r="C25" s="1"/>
      <c r="D25" s="1"/>
      <c r="E25" s="1"/>
      <c r="F25" s="1"/>
    </row>
    <row r="26" spans="1:6" ht="24.6">
      <c r="A26" s="1"/>
      <c r="B26" s="1"/>
      <c r="C26" s="1"/>
      <c r="D26" s="1"/>
      <c r="E26" s="1"/>
      <c r="F26" s="1"/>
    </row>
    <row r="27" spans="1:6" ht="24.6">
      <c r="A27" s="1"/>
      <c r="B27" s="1"/>
      <c r="C27" s="1"/>
      <c r="D27" s="1"/>
      <c r="E27" s="1"/>
      <c r="F27" s="1"/>
    </row>
    <row r="28" spans="1:6" ht="24.6">
      <c r="A28" s="1"/>
      <c r="B28" s="1"/>
      <c r="C28" s="1"/>
      <c r="D28" s="1"/>
      <c r="E28" s="1"/>
      <c r="F28" s="1"/>
    </row>
    <row r="29" spans="1:6" ht="24.6">
      <c r="A29" s="1"/>
      <c r="B29" s="1"/>
      <c r="C29" s="1"/>
      <c r="D29" s="1"/>
      <c r="E29" s="1"/>
      <c r="F29" s="1"/>
    </row>
    <row r="30" spans="1:6" ht="24.6">
      <c r="A30" s="1"/>
      <c r="B30" s="1"/>
      <c r="C30" s="1"/>
      <c r="D30" s="1"/>
      <c r="E30" s="1"/>
      <c r="F30" s="1"/>
    </row>
    <row r="31" spans="1:6" ht="24.6">
      <c r="A31" s="1"/>
      <c r="B31" s="1"/>
      <c r="C31" s="1"/>
      <c r="D31" s="1"/>
      <c r="E31" s="1"/>
      <c r="F31" s="1"/>
    </row>
    <row r="32" spans="1:6" ht="24.6">
      <c r="A32" s="1"/>
      <c r="B32" s="1"/>
      <c r="C32" s="1"/>
      <c r="D32" s="1"/>
      <c r="E32" s="1"/>
      <c r="F32" s="1"/>
    </row>
    <row r="33" spans="1:6" ht="24.6">
      <c r="A33" s="1"/>
      <c r="B33" s="1"/>
      <c r="C33" s="1"/>
      <c r="D33" s="1"/>
      <c r="E33" s="1"/>
      <c r="F33" s="1"/>
    </row>
    <row r="34" spans="1:6" ht="24.6">
      <c r="A34" s="1"/>
      <c r="B34" s="1"/>
      <c r="C34" s="1"/>
      <c r="D34" s="1"/>
      <c r="E34" s="1"/>
      <c r="F34" s="1"/>
    </row>
    <row r="35" spans="1:6" ht="24.6">
      <c r="A35" s="1"/>
      <c r="B35" s="1"/>
      <c r="C35" s="1"/>
      <c r="D35" s="1"/>
      <c r="E35" s="1"/>
      <c r="F35" s="1"/>
    </row>
    <row r="36" spans="1:6" ht="24.6">
      <c r="A36" s="1"/>
      <c r="B36" s="1"/>
      <c r="C36" s="1"/>
      <c r="D36" s="1"/>
      <c r="E36" s="1"/>
      <c r="F36" s="1"/>
    </row>
    <row r="37" spans="1:6" ht="24.6">
      <c r="A37" s="1"/>
      <c r="B37" s="1"/>
      <c r="C37" s="1"/>
      <c r="D37" s="1"/>
      <c r="E37" s="1"/>
      <c r="F37" s="1"/>
    </row>
    <row r="38" spans="1:6" ht="24.6">
      <c r="A38" s="1"/>
      <c r="B38" s="1"/>
      <c r="C38" s="1"/>
      <c r="D38" s="1"/>
      <c r="E38" s="1"/>
      <c r="F38" s="1"/>
    </row>
    <row r="39" spans="1:6" ht="24.6">
      <c r="A39" s="1"/>
      <c r="B39" s="1"/>
      <c r="C39" s="1"/>
      <c r="D39" s="1"/>
      <c r="E39" s="1"/>
      <c r="F39" s="1"/>
    </row>
    <row r="40" spans="1:6" ht="24.6">
      <c r="A40" s="1"/>
      <c r="B40" s="1"/>
      <c r="C40" s="1"/>
      <c r="D40" s="1"/>
      <c r="E40" s="1"/>
      <c r="F40" s="1"/>
    </row>
    <row r="41" spans="1:6" ht="24.6">
      <c r="A41" s="1"/>
      <c r="B41" s="1"/>
      <c r="C41" s="1"/>
      <c r="D41" s="1"/>
      <c r="E41" s="1"/>
      <c r="F41" s="1"/>
    </row>
    <row r="42" spans="1:6" ht="24.6">
      <c r="A42" s="1"/>
      <c r="B42" s="1"/>
      <c r="C42" s="1"/>
      <c r="D42" s="1"/>
      <c r="E42" s="1"/>
      <c r="F42" s="1"/>
    </row>
    <row r="43" spans="1:6" ht="24.6">
      <c r="A43" s="1"/>
      <c r="B43" s="1"/>
      <c r="C43" s="1"/>
      <c r="D43" s="1"/>
      <c r="E43" s="1"/>
      <c r="F43" s="1"/>
    </row>
    <row r="44" spans="1:6" ht="24.6">
      <c r="A44" s="1"/>
      <c r="B44" s="1"/>
      <c r="C44" s="1"/>
      <c r="D44" s="1"/>
      <c r="E44" s="1"/>
      <c r="F44" s="1"/>
    </row>
    <row r="45" spans="1:6" ht="24.6">
      <c r="A45" s="1"/>
      <c r="B45" s="1"/>
      <c r="C45" s="1"/>
      <c r="D45" s="1"/>
      <c r="E45" s="1"/>
      <c r="F45" s="1"/>
    </row>
    <row r="46" spans="1:6" ht="24.6">
      <c r="A46" s="1"/>
      <c r="B46" s="1"/>
      <c r="C46" s="1"/>
      <c r="D46" s="1"/>
      <c r="E46" s="1"/>
      <c r="F46" s="1"/>
    </row>
    <row r="47" spans="1:6" ht="24.6">
      <c r="A47" s="1"/>
      <c r="B47" s="1"/>
      <c r="C47" s="1"/>
      <c r="D47" s="1"/>
      <c r="E47" s="1"/>
      <c r="F47" s="1"/>
    </row>
  </sheetData>
  <mergeCells count="2">
    <mergeCell ref="A1:F1"/>
    <mergeCell ref="A8:C8"/>
  </mergeCells>
  <hyperlinks>
    <hyperlink ref="G1" location="'3.โครงการบริหารธุรกิจมหาบัณฑิต'!A1" display="โครงกาบริหารธุรกิจ ป.โท"/>
  </hyperlinks>
  <pageMargins left="3.937007874015748E-2" right="3.937007874015748E-2" top="0.74803149606299213" bottom="0.74803149606299213" header="0.31496062992125984" footer="0.31496062992125984"/>
  <pageSetup paperSize="9" orientation="landscape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workbookViewId="0">
      <selection activeCell="G1" sqref="G1"/>
    </sheetView>
  </sheetViews>
  <sheetFormatPr defaultRowHeight="14.4"/>
  <cols>
    <col min="1" max="1" width="13.44140625" customWidth="1"/>
    <col min="2" max="2" width="15.88671875" customWidth="1"/>
    <col min="3" max="3" width="70.33203125" customWidth="1"/>
    <col min="4" max="4" width="12.88671875" customWidth="1"/>
    <col min="5" max="5" width="13.88671875" customWidth="1"/>
    <col min="6" max="6" width="12.77734375" customWidth="1"/>
  </cols>
  <sheetData>
    <row r="1" spans="1:7" ht="24" customHeight="1">
      <c r="A1" s="120" t="s">
        <v>53</v>
      </c>
      <c r="B1" s="121"/>
      <c r="C1" s="121"/>
      <c r="D1" s="121"/>
      <c r="E1" s="121"/>
      <c r="F1" s="121"/>
      <c r="G1" s="6" t="s">
        <v>55</v>
      </c>
    </row>
    <row r="2" spans="1:7" ht="24" customHeight="1">
      <c r="A2" s="58"/>
      <c r="B2" s="58"/>
      <c r="C2" s="58" t="s">
        <v>54</v>
      </c>
      <c r="D2" s="58"/>
      <c r="E2" s="58"/>
      <c r="F2" s="58"/>
      <c r="G2" s="6"/>
    </row>
    <row r="3" spans="1:7" ht="24.6">
      <c r="A3" s="5" t="s">
        <v>20</v>
      </c>
      <c r="B3" s="5" t="s">
        <v>21</v>
      </c>
      <c r="C3" s="5" t="s">
        <v>6</v>
      </c>
      <c r="D3" s="5" t="s">
        <v>14</v>
      </c>
      <c r="E3" s="5" t="s">
        <v>7</v>
      </c>
      <c r="F3" s="5" t="s">
        <v>4</v>
      </c>
    </row>
    <row r="4" spans="1:7" ht="24.6">
      <c r="A4" s="11"/>
      <c r="B4" s="11"/>
      <c r="C4" s="15" t="s">
        <v>53</v>
      </c>
      <c r="D4" s="13">
        <v>55300</v>
      </c>
      <c r="E4" s="13"/>
      <c r="F4" s="13">
        <f>D4-E4</f>
        <v>55300</v>
      </c>
      <c r="G4" s="25"/>
    </row>
    <row r="5" spans="1:7" ht="102" customHeight="1">
      <c r="A5" s="14" t="s">
        <v>169</v>
      </c>
      <c r="B5" s="14" t="s">
        <v>170</v>
      </c>
      <c r="C5" s="15" t="s">
        <v>168</v>
      </c>
      <c r="D5" s="13"/>
      <c r="E5" s="13">
        <v>55300</v>
      </c>
      <c r="F5" s="13">
        <f>F4+D5-E5</f>
        <v>0</v>
      </c>
      <c r="G5" s="25"/>
    </row>
    <row r="6" spans="1:7" ht="24.6">
      <c r="A6" s="14"/>
      <c r="B6" s="14"/>
      <c r="C6" s="15"/>
      <c r="D6" s="13"/>
      <c r="E6" s="13"/>
      <c r="F6" s="13">
        <f t="shared" ref="F6" si="0">F5+D6-E6</f>
        <v>0</v>
      </c>
      <c r="G6" s="25"/>
    </row>
    <row r="7" spans="1:7" ht="24.6">
      <c r="A7" s="122" t="s">
        <v>5</v>
      </c>
      <c r="B7" s="123"/>
      <c r="C7" s="124"/>
      <c r="D7" s="7">
        <f>SUM(D4:D6)</f>
        <v>55300</v>
      </c>
      <c r="E7" s="7">
        <f>SUM(E4:E6)</f>
        <v>55300</v>
      </c>
      <c r="F7" s="7">
        <f>D7-E7</f>
        <v>0</v>
      </c>
    </row>
    <row r="8" spans="1:7" ht="24.6">
      <c r="A8" s="1"/>
      <c r="B8" s="1"/>
      <c r="C8" s="1"/>
      <c r="D8" s="1"/>
      <c r="E8" s="1"/>
      <c r="F8" s="1"/>
    </row>
    <row r="9" spans="1:7" ht="24.6">
      <c r="A9" s="1"/>
      <c r="B9" s="1"/>
      <c r="C9" s="1" t="s">
        <v>16</v>
      </c>
      <c r="D9" s="1"/>
      <c r="E9" s="1"/>
      <c r="F9" s="1"/>
    </row>
    <row r="10" spans="1:7" ht="24.6">
      <c r="A10" s="1"/>
      <c r="B10" s="1"/>
      <c r="C10" s="1"/>
      <c r="D10" s="1"/>
      <c r="E10" s="1"/>
      <c r="F10" s="1"/>
    </row>
    <row r="11" spans="1:7" ht="24.6">
      <c r="A11" s="1"/>
      <c r="B11" s="1"/>
      <c r="C11" s="1"/>
      <c r="D11" s="1"/>
      <c r="E11" s="1"/>
      <c r="F11" s="1"/>
    </row>
    <row r="12" spans="1:7" ht="24.6">
      <c r="A12" s="1"/>
      <c r="B12" s="1"/>
      <c r="C12" s="1" t="s">
        <v>15</v>
      </c>
      <c r="D12" s="1"/>
      <c r="E12" s="1"/>
      <c r="F12" s="1"/>
    </row>
    <row r="13" spans="1:7" ht="24.6">
      <c r="A13" s="1"/>
      <c r="B13" s="1"/>
      <c r="C13" s="1"/>
      <c r="D13" s="1"/>
      <c r="E13" s="1"/>
      <c r="F13" s="1"/>
    </row>
    <row r="14" spans="1:7" ht="24.6">
      <c r="A14" s="1"/>
      <c r="B14" s="1"/>
      <c r="C14" s="1"/>
      <c r="D14" s="1"/>
      <c r="E14" s="1"/>
      <c r="F14" s="1"/>
    </row>
    <row r="15" spans="1:7" ht="24.6">
      <c r="A15" s="1"/>
      <c r="B15" s="1"/>
      <c r="C15" s="1"/>
      <c r="D15" s="1"/>
      <c r="E15" s="1"/>
      <c r="F15" s="1"/>
    </row>
    <row r="16" spans="1:7" ht="24.6">
      <c r="A16" s="1"/>
      <c r="B16" s="1"/>
      <c r="C16" s="1"/>
      <c r="D16" s="1"/>
      <c r="E16" s="1"/>
      <c r="F16" s="1"/>
    </row>
    <row r="17" spans="1:6" ht="24.6">
      <c r="A17" s="1"/>
      <c r="B17" s="1"/>
      <c r="C17" s="1"/>
      <c r="D17" s="1"/>
      <c r="E17" s="1"/>
      <c r="F17" s="1"/>
    </row>
    <row r="18" spans="1:6" ht="24.6">
      <c r="A18" s="1"/>
      <c r="B18" s="1"/>
      <c r="C18" s="1"/>
      <c r="D18" s="1"/>
      <c r="E18" s="1"/>
      <c r="F18" s="1"/>
    </row>
    <row r="19" spans="1:6" ht="24.6">
      <c r="A19" s="1"/>
      <c r="B19" s="1"/>
      <c r="C19" s="1"/>
      <c r="D19" s="1"/>
      <c r="E19" s="1"/>
      <c r="F19" s="1"/>
    </row>
    <row r="20" spans="1:6" ht="24.6">
      <c r="A20" s="1"/>
      <c r="B20" s="1"/>
      <c r="C20" s="1"/>
      <c r="D20" s="1"/>
      <c r="E20" s="1"/>
      <c r="F20" s="1"/>
    </row>
    <row r="21" spans="1:6" ht="24.6">
      <c r="A21" s="1"/>
      <c r="B21" s="1"/>
      <c r="C21" s="1"/>
      <c r="D21" s="1"/>
      <c r="E21" s="1"/>
      <c r="F21" s="1"/>
    </row>
    <row r="22" spans="1:6" ht="24.6">
      <c r="A22" s="1"/>
      <c r="B22" s="1"/>
      <c r="C22" s="1"/>
      <c r="D22" s="1"/>
      <c r="E22" s="1"/>
      <c r="F22" s="1"/>
    </row>
    <row r="23" spans="1:6" ht="24.6">
      <c r="A23" s="1"/>
      <c r="B23" s="1"/>
      <c r="C23" s="1"/>
      <c r="D23" s="1"/>
      <c r="E23" s="1"/>
      <c r="F23" s="1"/>
    </row>
    <row r="24" spans="1:6" ht="24.6">
      <c r="A24" s="1"/>
      <c r="B24" s="1"/>
      <c r="C24" s="1"/>
      <c r="D24" s="1"/>
      <c r="E24" s="1"/>
      <c r="F24" s="1"/>
    </row>
    <row r="25" spans="1:6" ht="24.6">
      <c r="A25" s="1"/>
      <c r="B25" s="1"/>
      <c r="C25" s="1"/>
      <c r="D25" s="1"/>
      <c r="E25" s="1"/>
      <c r="F25" s="1"/>
    </row>
    <row r="26" spans="1:6" ht="24.6">
      <c r="A26" s="1"/>
      <c r="B26" s="1"/>
      <c r="C26" s="1"/>
      <c r="D26" s="1"/>
      <c r="E26" s="1"/>
      <c r="F26" s="1"/>
    </row>
    <row r="27" spans="1:6" ht="24.6">
      <c r="A27" s="1"/>
      <c r="B27" s="1"/>
      <c r="C27" s="1"/>
      <c r="D27" s="1"/>
      <c r="E27" s="1"/>
      <c r="F27" s="1"/>
    </row>
    <row r="28" spans="1:6" ht="24.6">
      <c r="A28" s="1"/>
      <c r="B28" s="1"/>
      <c r="C28" s="1"/>
      <c r="D28" s="1"/>
      <c r="E28" s="1"/>
      <c r="F28" s="1"/>
    </row>
    <row r="29" spans="1:6" ht="24.6">
      <c r="A29" s="1"/>
      <c r="B29" s="1"/>
      <c r="C29" s="1"/>
      <c r="D29" s="1"/>
      <c r="E29" s="1"/>
      <c r="F29" s="1"/>
    </row>
    <row r="30" spans="1:6" ht="24.6">
      <c r="A30" s="1"/>
      <c r="B30" s="1"/>
      <c r="C30" s="1"/>
      <c r="D30" s="1"/>
      <c r="E30" s="1"/>
      <c r="F30" s="1"/>
    </row>
    <row r="31" spans="1:6" ht="24.6">
      <c r="A31" s="1"/>
      <c r="B31" s="1"/>
      <c r="C31" s="1"/>
      <c r="D31" s="1"/>
      <c r="E31" s="1"/>
      <c r="F31" s="1"/>
    </row>
    <row r="32" spans="1:6" ht="24.6">
      <c r="A32" s="1"/>
      <c r="B32" s="1"/>
      <c r="C32" s="1"/>
      <c r="D32" s="1"/>
      <c r="E32" s="1"/>
      <c r="F32" s="1"/>
    </row>
    <row r="33" spans="1:6" ht="24.6">
      <c r="A33" s="1"/>
      <c r="B33" s="1"/>
      <c r="C33" s="1"/>
      <c r="D33" s="1"/>
      <c r="E33" s="1"/>
      <c r="F33" s="1"/>
    </row>
    <row r="34" spans="1:6" ht="24.6">
      <c r="A34" s="1"/>
      <c r="B34" s="1"/>
      <c r="C34" s="1"/>
      <c r="D34" s="1"/>
      <c r="E34" s="1"/>
      <c r="F34" s="1"/>
    </row>
    <row r="35" spans="1:6" ht="24.6">
      <c r="A35" s="1"/>
      <c r="B35" s="1"/>
      <c r="C35" s="1"/>
      <c r="D35" s="1"/>
      <c r="E35" s="1"/>
      <c r="F35" s="1"/>
    </row>
    <row r="36" spans="1:6" ht="24.6">
      <c r="A36" s="1"/>
      <c r="B36" s="1"/>
      <c r="C36" s="1"/>
      <c r="D36" s="1"/>
      <c r="E36" s="1"/>
      <c r="F36" s="1"/>
    </row>
    <row r="37" spans="1:6" ht="24.6">
      <c r="A37" s="1"/>
      <c r="B37" s="1"/>
      <c r="C37" s="1"/>
      <c r="D37" s="1"/>
      <c r="E37" s="1"/>
      <c r="F37" s="1"/>
    </row>
    <row r="38" spans="1:6" ht="24.6">
      <c r="A38" s="1"/>
      <c r="B38" s="1"/>
      <c r="C38" s="1"/>
      <c r="D38" s="1"/>
      <c r="E38" s="1"/>
      <c r="F38" s="1"/>
    </row>
    <row r="39" spans="1:6" ht="24.6">
      <c r="A39" s="1"/>
      <c r="B39" s="1"/>
      <c r="C39" s="1"/>
      <c r="D39" s="1"/>
      <c r="E39" s="1"/>
      <c r="F39" s="1"/>
    </row>
    <row r="40" spans="1:6" ht="24.6">
      <c r="A40" s="1"/>
      <c r="B40" s="1"/>
      <c r="C40" s="1"/>
      <c r="D40" s="1"/>
      <c r="E40" s="1"/>
      <c r="F40" s="1"/>
    </row>
    <row r="41" spans="1:6" ht="24.6">
      <c r="A41" s="1"/>
      <c r="B41" s="1"/>
      <c r="C41" s="1"/>
      <c r="D41" s="1"/>
      <c r="E41" s="1"/>
      <c r="F41" s="1"/>
    </row>
    <row r="42" spans="1:6" ht="24.6">
      <c r="A42" s="1"/>
      <c r="B42" s="1"/>
      <c r="C42" s="1"/>
      <c r="D42" s="1"/>
      <c r="E42" s="1"/>
      <c r="F42" s="1"/>
    </row>
    <row r="43" spans="1:6" ht="24.6">
      <c r="A43" s="1"/>
      <c r="B43" s="1"/>
      <c r="C43" s="1"/>
      <c r="D43" s="1"/>
      <c r="E43" s="1"/>
      <c r="F43" s="1"/>
    </row>
    <row r="44" spans="1:6" ht="24.6">
      <c r="A44" s="1"/>
      <c r="B44" s="1"/>
      <c r="C44" s="1"/>
      <c r="D44" s="1"/>
      <c r="E44" s="1"/>
      <c r="F44" s="1"/>
    </row>
    <row r="45" spans="1:6" ht="24.6">
      <c r="A45" s="1"/>
      <c r="B45" s="1"/>
      <c r="C45" s="1"/>
      <c r="D45" s="1"/>
      <c r="E45" s="1"/>
      <c r="F45" s="1"/>
    </row>
    <row r="46" spans="1:6" ht="24.6">
      <c r="A46" s="1"/>
      <c r="B46" s="1"/>
      <c r="C46" s="1"/>
      <c r="D46" s="1"/>
      <c r="E46" s="1"/>
      <c r="F46" s="1"/>
    </row>
  </sheetData>
  <mergeCells count="2">
    <mergeCell ref="A1:F1"/>
    <mergeCell ref="A7:C7"/>
  </mergeCells>
  <hyperlinks>
    <hyperlink ref="G1" location="'3.โครงการบริหารธุรกิจมหาบัณฑิต'!A1" display="โครงกาบริหารธุรกิจ ป.โท"/>
  </hyperlinks>
  <pageMargins left="3.937007874015748E-2" right="3.937007874015748E-2" top="0.74803149606299213" bottom="0.74803149606299213" header="0.31496062992125984" footer="0.31496062992125984"/>
  <pageSetup paperSize="9" orientation="landscape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F11"/>
  <sheetViews>
    <sheetView workbookViewId="0">
      <selection activeCell="F1" sqref="F1"/>
    </sheetView>
  </sheetViews>
  <sheetFormatPr defaultColWidth="9.109375" defaultRowHeight="24.6"/>
  <cols>
    <col min="1" max="1" width="13.33203125" style="3" customWidth="1"/>
    <col min="2" max="2" width="64.33203125" style="1" customWidth="1"/>
    <col min="3" max="3" width="15.77734375" style="4" customWidth="1"/>
    <col min="4" max="4" width="15.33203125" style="4" customWidth="1"/>
    <col min="5" max="5" width="14.6640625" style="4" customWidth="1"/>
    <col min="6" max="16384" width="9.109375" style="1"/>
  </cols>
  <sheetData>
    <row r="1" spans="1:6">
      <c r="A1" s="117" t="s">
        <v>60</v>
      </c>
      <c r="B1" s="117"/>
      <c r="C1" s="117"/>
      <c r="D1" s="117"/>
      <c r="E1" s="117"/>
      <c r="F1" s="6" t="s">
        <v>8</v>
      </c>
    </row>
    <row r="2" spans="1:6">
      <c r="A2" s="117" t="s">
        <v>61</v>
      </c>
      <c r="B2" s="117"/>
      <c r="C2" s="117"/>
      <c r="D2" s="117"/>
      <c r="E2" s="117"/>
    </row>
    <row r="3" spans="1:6" s="2" customFormat="1" ht="30" customHeight="1">
      <c r="A3" s="28" t="s">
        <v>0</v>
      </c>
      <c r="B3" s="28" t="s">
        <v>1</v>
      </c>
      <c r="C3" s="29" t="s">
        <v>18</v>
      </c>
      <c r="D3" s="29" t="s">
        <v>3</v>
      </c>
      <c r="E3" s="29" t="s">
        <v>4</v>
      </c>
    </row>
    <row r="4" spans="1:6">
      <c r="A4" s="30"/>
      <c r="B4" s="31" t="s">
        <v>19</v>
      </c>
      <c r="C4" s="32">
        <v>12000</v>
      </c>
      <c r="D4" s="32"/>
      <c r="E4" s="32">
        <f>C4-D4</f>
        <v>12000</v>
      </c>
    </row>
    <row r="5" spans="1:6" ht="48" customHeight="1">
      <c r="A5" s="61" t="s">
        <v>58</v>
      </c>
      <c r="B5" s="15" t="s">
        <v>62</v>
      </c>
      <c r="C5" s="34">
        <f>'กิจกรรมที่. 4.1'!D7</f>
        <v>6000</v>
      </c>
      <c r="D5" s="34">
        <f>'กิจกรรมที่. 4.1'!E7</f>
        <v>6000</v>
      </c>
      <c r="E5" s="34">
        <f t="shared" ref="E5:E7" si="0">C5-D5</f>
        <v>0</v>
      </c>
    </row>
    <row r="6" spans="1:6" ht="48" customHeight="1">
      <c r="A6" s="61" t="s">
        <v>59</v>
      </c>
      <c r="B6" s="35" t="s">
        <v>64</v>
      </c>
      <c r="C6" s="34">
        <f>กิจกรรมที่.4.2!D6</f>
        <v>6000</v>
      </c>
      <c r="D6" s="34">
        <f>กิจกรรมที่.4.2!E6</f>
        <v>6000</v>
      </c>
      <c r="E6" s="34">
        <f t="shared" si="0"/>
        <v>0</v>
      </c>
    </row>
    <row r="7" spans="1:6">
      <c r="A7" s="118" t="s">
        <v>5</v>
      </c>
      <c r="B7" s="119"/>
      <c r="C7" s="32">
        <f>SUM(C5:C6)</f>
        <v>12000</v>
      </c>
      <c r="D7" s="32">
        <f>SUM(D5:D6)</f>
        <v>12000</v>
      </c>
      <c r="E7" s="32">
        <f t="shared" si="0"/>
        <v>0</v>
      </c>
    </row>
    <row r="8" spans="1:6">
      <c r="A8" s="40"/>
      <c r="B8" s="20"/>
      <c r="C8" s="41"/>
      <c r="D8" s="41"/>
      <c r="E8" s="41"/>
    </row>
    <row r="9" spans="1:6">
      <c r="A9" s="40"/>
      <c r="B9" s="20"/>
      <c r="C9" s="41"/>
      <c r="D9" s="41"/>
      <c r="E9" s="41"/>
    </row>
    <row r="10" spans="1:6">
      <c r="A10" s="40"/>
      <c r="B10" s="20"/>
      <c r="C10" s="41"/>
      <c r="D10" s="41"/>
      <c r="E10" s="41"/>
    </row>
    <row r="11" spans="1:6">
      <c r="A11" s="40"/>
      <c r="B11" s="20"/>
      <c r="C11" s="41"/>
      <c r="D11" s="41"/>
      <c r="E11" s="41"/>
    </row>
  </sheetData>
  <mergeCells count="3">
    <mergeCell ref="A1:E1"/>
    <mergeCell ref="A2:E2"/>
    <mergeCell ref="A7:B7"/>
  </mergeCells>
  <hyperlinks>
    <hyperlink ref="F1" location="หน้าหลัก!A1" display="หน้าหลัก"/>
    <hyperlink ref="A5" location="'กิจกรรมที่. 4.1'!A1" display="กิจกรรมที่4.1"/>
    <hyperlink ref="A6" location="กิจกรรมที่.4.2!A1" display="กิจกรรมที่4.2"/>
  </hyperlinks>
  <pageMargins left="0.7" right="0.7" top="0.75" bottom="0.75" header="0.3" footer="0.3"/>
  <pageSetup paperSize="9" orientation="landscape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workbookViewId="0">
      <selection activeCell="G1" sqref="G1"/>
    </sheetView>
  </sheetViews>
  <sheetFormatPr defaultRowHeight="14.4"/>
  <cols>
    <col min="1" max="1" width="13.44140625" customWidth="1"/>
    <col min="2" max="2" width="15.88671875" customWidth="1"/>
    <col min="3" max="3" width="70.33203125" customWidth="1"/>
    <col min="4" max="4" width="12.88671875" customWidth="1"/>
    <col min="5" max="5" width="13.88671875" customWidth="1"/>
    <col min="6" max="6" width="12.77734375" customWidth="1"/>
  </cols>
  <sheetData>
    <row r="1" spans="1:7" ht="24" customHeight="1">
      <c r="A1" s="132" t="s">
        <v>62</v>
      </c>
      <c r="B1" s="132"/>
      <c r="C1" s="132"/>
      <c r="D1" s="132"/>
      <c r="E1" s="132"/>
      <c r="F1" s="132"/>
      <c r="G1" s="6" t="s">
        <v>66</v>
      </c>
    </row>
    <row r="2" spans="1:7" ht="24" customHeight="1">
      <c r="A2" s="54"/>
      <c r="B2" s="54"/>
      <c r="C2" s="54" t="s">
        <v>63</v>
      </c>
      <c r="D2" s="54"/>
      <c r="E2" s="54"/>
      <c r="F2" s="54"/>
      <c r="G2" s="6"/>
    </row>
    <row r="3" spans="1:7" ht="24.6">
      <c r="A3" s="21" t="s">
        <v>20</v>
      </c>
      <c r="B3" s="21" t="s">
        <v>21</v>
      </c>
      <c r="C3" s="21" t="s">
        <v>6</v>
      </c>
      <c r="D3" s="21" t="s">
        <v>14</v>
      </c>
      <c r="E3" s="21" t="s">
        <v>7</v>
      </c>
      <c r="F3" s="21" t="s">
        <v>4</v>
      </c>
    </row>
    <row r="4" spans="1:7" ht="24.6">
      <c r="A4" s="11"/>
      <c r="B4" s="11"/>
      <c r="C4" s="12" t="s">
        <v>62</v>
      </c>
      <c r="D4" s="13">
        <v>6000</v>
      </c>
      <c r="E4" s="13"/>
      <c r="F4" s="13">
        <f>D4-E4</f>
        <v>6000</v>
      </c>
    </row>
    <row r="5" spans="1:7" ht="96" customHeight="1">
      <c r="A5" s="14" t="s">
        <v>137</v>
      </c>
      <c r="B5" s="14" t="s">
        <v>138</v>
      </c>
      <c r="C5" s="15" t="s">
        <v>136</v>
      </c>
      <c r="D5" s="13"/>
      <c r="E5" s="13">
        <v>6000</v>
      </c>
      <c r="F5" s="13">
        <f>F4+D5-E5</f>
        <v>0</v>
      </c>
    </row>
    <row r="6" spans="1:7" ht="24.6">
      <c r="A6" s="14"/>
      <c r="B6" s="14"/>
      <c r="C6" s="12"/>
      <c r="D6" s="13"/>
      <c r="E6" s="13"/>
      <c r="F6" s="13"/>
    </row>
    <row r="7" spans="1:7" ht="24.6">
      <c r="A7" s="126" t="s">
        <v>5</v>
      </c>
      <c r="B7" s="127"/>
      <c r="C7" s="128"/>
      <c r="D7" s="38">
        <f>SUM(D4:D5)</f>
        <v>6000</v>
      </c>
      <c r="E7" s="38">
        <f>SUM(E4:E6)</f>
        <v>6000</v>
      </c>
      <c r="F7" s="38">
        <f>D7-E7</f>
        <v>0</v>
      </c>
    </row>
    <row r="8" spans="1:7" ht="24.6">
      <c r="A8" s="20"/>
      <c r="B8" s="20"/>
      <c r="C8" s="20"/>
      <c r="D8" s="20"/>
      <c r="E8" s="20"/>
      <c r="F8" s="20"/>
    </row>
    <row r="9" spans="1:7" ht="24.6">
      <c r="A9" s="20"/>
      <c r="B9" s="20"/>
      <c r="C9" s="20" t="s">
        <v>35</v>
      </c>
      <c r="D9" s="20"/>
      <c r="E9" s="20"/>
      <c r="F9" s="20"/>
    </row>
    <row r="10" spans="1:7" ht="24.6">
      <c r="A10" s="1"/>
      <c r="B10" s="1"/>
      <c r="C10" s="1"/>
      <c r="D10" s="1"/>
      <c r="E10" s="1"/>
      <c r="F10" s="1"/>
    </row>
    <row r="11" spans="1:7" ht="24.6">
      <c r="A11" s="1"/>
      <c r="B11" s="1"/>
      <c r="C11" s="1"/>
      <c r="D11" s="1"/>
      <c r="E11" s="1"/>
      <c r="F11" s="1"/>
    </row>
    <row r="12" spans="1:7" ht="24.6">
      <c r="A12" s="1"/>
      <c r="B12" s="1"/>
      <c r="C12" s="1" t="s">
        <v>15</v>
      </c>
      <c r="D12" s="1"/>
      <c r="E12" s="1"/>
      <c r="F12" s="1"/>
    </row>
    <row r="13" spans="1:7" ht="24.6">
      <c r="A13" s="1"/>
      <c r="B13" s="1"/>
      <c r="C13" s="1"/>
      <c r="D13" s="1"/>
      <c r="E13" s="1"/>
      <c r="F13" s="1"/>
    </row>
    <row r="14" spans="1:7" ht="24.6">
      <c r="A14" s="1"/>
      <c r="B14" s="1"/>
      <c r="C14" s="1"/>
      <c r="D14" s="1"/>
      <c r="E14" s="1"/>
      <c r="F14" s="1"/>
    </row>
    <row r="15" spans="1:7" ht="24.6">
      <c r="A15" s="1"/>
      <c r="B15" s="1"/>
      <c r="C15" s="1"/>
      <c r="D15" s="1"/>
      <c r="E15" s="1"/>
      <c r="F15" s="1"/>
    </row>
    <row r="16" spans="1:7" ht="24.6">
      <c r="A16" s="1"/>
      <c r="B16" s="1"/>
      <c r="C16" s="1"/>
      <c r="D16" s="1"/>
      <c r="E16" s="1"/>
      <c r="F16" s="1"/>
    </row>
    <row r="17" spans="1:6" ht="24.6">
      <c r="A17" s="1"/>
      <c r="B17" s="1"/>
      <c r="C17" s="1"/>
      <c r="D17" s="1"/>
      <c r="E17" s="1"/>
      <c r="F17" s="1"/>
    </row>
    <row r="18" spans="1:6" ht="24.6">
      <c r="A18" s="1"/>
      <c r="B18" s="1"/>
      <c r="C18" s="1"/>
      <c r="D18" s="1"/>
      <c r="E18" s="1"/>
      <c r="F18" s="1"/>
    </row>
    <row r="19" spans="1:6" ht="24.6">
      <c r="A19" s="1"/>
      <c r="B19" s="1"/>
      <c r="C19" s="1"/>
      <c r="D19" s="1"/>
      <c r="E19" s="1"/>
      <c r="F19" s="1"/>
    </row>
    <row r="20" spans="1:6" ht="24.6">
      <c r="A20" s="1"/>
      <c r="B20" s="1"/>
      <c r="C20" s="1"/>
      <c r="D20" s="1"/>
      <c r="E20" s="1"/>
      <c r="F20" s="1"/>
    </row>
    <row r="21" spans="1:6" ht="24.6">
      <c r="A21" s="1"/>
      <c r="B21" s="1"/>
      <c r="C21" s="1"/>
      <c r="D21" s="1"/>
      <c r="E21" s="1"/>
      <c r="F21" s="1"/>
    </row>
    <row r="22" spans="1:6" ht="24.6">
      <c r="A22" s="1"/>
      <c r="B22" s="1"/>
      <c r="C22" s="1"/>
      <c r="D22" s="1"/>
      <c r="E22" s="1"/>
      <c r="F22" s="1"/>
    </row>
    <row r="23" spans="1:6" ht="24.6">
      <c r="A23" s="1"/>
      <c r="B23" s="1"/>
      <c r="C23" s="1"/>
      <c r="D23" s="1"/>
      <c r="E23" s="1"/>
      <c r="F23" s="1"/>
    </row>
    <row r="24" spans="1:6" ht="24.6">
      <c r="A24" s="1"/>
      <c r="B24" s="1"/>
      <c r="C24" s="1"/>
      <c r="D24" s="1"/>
      <c r="E24" s="1"/>
      <c r="F24" s="1"/>
    </row>
    <row r="25" spans="1:6" ht="24.6">
      <c r="A25" s="1"/>
      <c r="B25" s="1"/>
      <c r="C25" s="1"/>
      <c r="D25" s="1"/>
      <c r="E25" s="1"/>
      <c r="F25" s="1"/>
    </row>
    <row r="26" spans="1:6" ht="24.6">
      <c r="A26" s="1"/>
      <c r="B26" s="1"/>
      <c r="C26" s="1"/>
      <c r="D26" s="1"/>
      <c r="E26" s="1"/>
      <c r="F26" s="1"/>
    </row>
    <row r="27" spans="1:6" ht="24.6">
      <c r="A27" s="1"/>
      <c r="B27" s="1"/>
      <c r="C27" s="1"/>
      <c r="D27" s="1"/>
      <c r="E27" s="1"/>
      <c r="F27" s="1"/>
    </row>
    <row r="28" spans="1:6" ht="24.6">
      <c r="A28" s="1"/>
      <c r="B28" s="1"/>
      <c r="C28" s="1"/>
      <c r="D28" s="1"/>
      <c r="E28" s="1"/>
      <c r="F28" s="1"/>
    </row>
    <row r="29" spans="1:6" ht="24.6">
      <c r="A29" s="1"/>
      <c r="B29" s="1"/>
      <c r="C29" s="1"/>
      <c r="D29" s="1"/>
      <c r="E29" s="1"/>
      <c r="F29" s="1"/>
    </row>
    <row r="30" spans="1:6" ht="24.6">
      <c r="A30" s="1"/>
      <c r="B30" s="1"/>
      <c r="C30" s="1"/>
      <c r="D30" s="1"/>
      <c r="E30" s="1"/>
      <c r="F30" s="1"/>
    </row>
    <row r="31" spans="1:6" ht="24.6">
      <c r="A31" s="1"/>
      <c r="B31" s="1"/>
      <c r="C31" s="1"/>
      <c r="D31" s="1"/>
      <c r="E31" s="1"/>
      <c r="F31" s="1"/>
    </row>
    <row r="32" spans="1:6" ht="24.6">
      <c r="A32" s="1"/>
      <c r="B32" s="1"/>
      <c r="C32" s="1"/>
      <c r="D32" s="1"/>
      <c r="E32" s="1"/>
      <c r="F32" s="1"/>
    </row>
    <row r="33" spans="1:6" ht="24.6">
      <c r="A33" s="1"/>
      <c r="B33" s="1"/>
      <c r="C33" s="1"/>
      <c r="D33" s="1"/>
      <c r="E33" s="1"/>
      <c r="F33" s="1"/>
    </row>
    <row r="34" spans="1:6" ht="24.6">
      <c r="A34" s="1"/>
      <c r="B34" s="1"/>
      <c r="C34" s="1"/>
      <c r="D34" s="1"/>
      <c r="E34" s="1"/>
      <c r="F34" s="1"/>
    </row>
    <row r="35" spans="1:6" ht="24.6">
      <c r="A35" s="1"/>
      <c r="B35" s="1"/>
      <c r="C35" s="1"/>
      <c r="D35" s="1"/>
      <c r="E35" s="1"/>
      <c r="F35" s="1"/>
    </row>
    <row r="36" spans="1:6" ht="24.6">
      <c r="A36" s="1"/>
      <c r="B36" s="1"/>
      <c r="C36" s="1"/>
      <c r="D36" s="1"/>
      <c r="E36" s="1"/>
      <c r="F36" s="1"/>
    </row>
    <row r="37" spans="1:6" ht="24.6">
      <c r="A37" s="1"/>
      <c r="B37" s="1"/>
      <c r="C37" s="1"/>
      <c r="D37" s="1"/>
      <c r="E37" s="1"/>
      <c r="F37" s="1"/>
    </row>
    <row r="38" spans="1:6" ht="24.6">
      <c r="A38" s="1"/>
      <c r="B38" s="1"/>
      <c r="C38" s="1"/>
      <c r="D38" s="1"/>
      <c r="E38" s="1"/>
      <c r="F38" s="1"/>
    </row>
    <row r="39" spans="1:6" ht="24.6">
      <c r="A39" s="1"/>
      <c r="B39" s="1"/>
      <c r="C39" s="1"/>
      <c r="D39" s="1"/>
      <c r="E39" s="1"/>
      <c r="F39" s="1"/>
    </row>
    <row r="40" spans="1:6" ht="24.6">
      <c r="A40" s="1"/>
      <c r="B40" s="1"/>
      <c r="C40" s="1"/>
      <c r="D40" s="1"/>
      <c r="E40" s="1"/>
      <c r="F40" s="1"/>
    </row>
    <row r="41" spans="1:6" ht="24.6">
      <c r="A41" s="1"/>
      <c r="B41" s="1"/>
      <c r="C41" s="1"/>
      <c r="D41" s="1"/>
      <c r="E41" s="1"/>
      <c r="F41" s="1"/>
    </row>
    <row r="42" spans="1:6" ht="24.6">
      <c r="A42" s="1"/>
      <c r="B42" s="1"/>
      <c r="C42" s="1"/>
      <c r="D42" s="1"/>
      <c r="E42" s="1"/>
      <c r="F42" s="1"/>
    </row>
    <row r="43" spans="1:6" ht="24.6">
      <c r="A43" s="1"/>
      <c r="B43" s="1"/>
      <c r="C43" s="1"/>
      <c r="D43" s="1"/>
      <c r="E43" s="1"/>
      <c r="F43" s="1"/>
    </row>
    <row r="44" spans="1:6" ht="24.6">
      <c r="A44" s="1"/>
      <c r="B44" s="1"/>
      <c r="C44" s="1"/>
      <c r="D44" s="1"/>
      <c r="E44" s="1"/>
      <c r="F44" s="1"/>
    </row>
    <row r="45" spans="1:6" ht="24.6">
      <c r="A45" s="1"/>
      <c r="B45" s="1"/>
      <c r="C45" s="1"/>
      <c r="D45" s="1"/>
      <c r="E45" s="1"/>
      <c r="F45" s="1"/>
    </row>
    <row r="46" spans="1:6" ht="24.6">
      <c r="A46" s="1"/>
      <c r="B46" s="1"/>
      <c r="C46" s="1"/>
      <c r="D46" s="1"/>
      <c r="E46" s="1"/>
      <c r="F46" s="1"/>
    </row>
  </sheetData>
  <mergeCells count="2">
    <mergeCell ref="A1:F1"/>
    <mergeCell ref="A7:C7"/>
  </mergeCells>
  <hyperlinks>
    <hyperlink ref="G1" location="'4.โครงการ รปศ ป.โท'!A1" display="รปศ. ปโท"/>
  </hyperlinks>
  <pageMargins left="3.937007874015748E-2" right="3.937007874015748E-2" top="0.74803149606299213" bottom="0.74803149606299213" header="0.31496062992125984" footer="0.31496062992125984"/>
  <pageSetup paperSize="9" orientation="landscape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>
      <selection activeCell="G1" sqref="G1"/>
    </sheetView>
  </sheetViews>
  <sheetFormatPr defaultRowHeight="14.4"/>
  <cols>
    <col min="1" max="1" width="13.44140625" customWidth="1"/>
    <col min="2" max="2" width="15.88671875" customWidth="1"/>
    <col min="3" max="3" width="70.33203125" customWidth="1"/>
    <col min="4" max="4" width="12.88671875" customWidth="1"/>
    <col min="5" max="5" width="13.88671875" customWidth="1"/>
    <col min="6" max="6" width="12.77734375" customWidth="1"/>
  </cols>
  <sheetData>
    <row r="1" spans="1:7" ht="24" customHeight="1">
      <c r="A1" s="132" t="s">
        <v>64</v>
      </c>
      <c r="B1" s="132"/>
      <c r="C1" s="132"/>
      <c r="D1" s="132"/>
      <c r="E1" s="132"/>
      <c r="F1" s="132"/>
      <c r="G1" s="6" t="s">
        <v>66</v>
      </c>
    </row>
    <row r="2" spans="1:7" ht="24" customHeight="1">
      <c r="A2" s="37"/>
      <c r="B2" s="37"/>
      <c r="C2" s="37" t="s">
        <v>65</v>
      </c>
      <c r="D2" s="37"/>
      <c r="E2" s="37"/>
      <c r="F2" s="37"/>
      <c r="G2" s="6"/>
    </row>
    <row r="3" spans="1:7" ht="24.6">
      <c r="A3" s="21" t="s">
        <v>20</v>
      </c>
      <c r="B3" s="21" t="s">
        <v>21</v>
      </c>
      <c r="C3" s="21" t="s">
        <v>6</v>
      </c>
      <c r="D3" s="21" t="s">
        <v>14</v>
      </c>
      <c r="E3" s="21" t="s">
        <v>7</v>
      </c>
      <c r="F3" s="21" t="s">
        <v>4</v>
      </c>
    </row>
    <row r="4" spans="1:7" ht="49.2">
      <c r="A4" s="11"/>
      <c r="B4" s="11"/>
      <c r="C4" s="15" t="s">
        <v>64</v>
      </c>
      <c r="D4" s="13">
        <v>6000</v>
      </c>
      <c r="E4" s="13"/>
      <c r="F4" s="13">
        <f>D4-E4</f>
        <v>6000</v>
      </c>
    </row>
    <row r="5" spans="1:7" ht="96" customHeight="1">
      <c r="A5" s="14" t="s">
        <v>137</v>
      </c>
      <c r="B5" s="14" t="s">
        <v>138</v>
      </c>
      <c r="C5" s="15" t="s">
        <v>139</v>
      </c>
      <c r="D5" s="13"/>
      <c r="E5" s="13">
        <v>6000</v>
      </c>
      <c r="F5" s="13">
        <f>F4+D5-E5</f>
        <v>0</v>
      </c>
    </row>
    <row r="6" spans="1:7" ht="24.6">
      <c r="A6" s="126" t="s">
        <v>5</v>
      </c>
      <c r="B6" s="127"/>
      <c r="C6" s="128"/>
      <c r="D6" s="38">
        <f>SUM(D4:D5)</f>
        <v>6000</v>
      </c>
      <c r="E6" s="38">
        <f>SUM(E4:E5)</f>
        <v>6000</v>
      </c>
      <c r="F6" s="38">
        <f>D6-E6</f>
        <v>0</v>
      </c>
    </row>
    <row r="7" spans="1:7" ht="24.6">
      <c r="A7" s="20"/>
      <c r="B7" s="20"/>
      <c r="C7" s="20"/>
      <c r="D7" s="20"/>
      <c r="E7" s="20"/>
      <c r="F7" s="20"/>
    </row>
    <row r="8" spans="1:7" ht="24.6">
      <c r="A8" s="20"/>
      <c r="B8" s="20"/>
      <c r="C8" s="20" t="s">
        <v>35</v>
      </c>
      <c r="D8" s="20"/>
      <c r="E8" s="20"/>
      <c r="F8" s="20"/>
    </row>
    <row r="9" spans="1:7" ht="24.6">
      <c r="A9" s="20"/>
      <c r="B9" s="20"/>
      <c r="C9" s="20"/>
      <c r="D9" s="20"/>
      <c r="E9" s="20"/>
      <c r="F9" s="20"/>
    </row>
    <row r="10" spans="1:7" ht="24.6">
      <c r="A10" s="20"/>
      <c r="B10" s="20"/>
      <c r="C10" s="20"/>
      <c r="D10" s="20"/>
      <c r="E10" s="20"/>
      <c r="F10" s="20"/>
    </row>
    <row r="11" spans="1:7" ht="24.6">
      <c r="A11" s="20"/>
      <c r="B11" s="20"/>
      <c r="C11" s="20" t="s">
        <v>15</v>
      </c>
      <c r="D11" s="20"/>
      <c r="E11" s="20"/>
      <c r="F11" s="20"/>
    </row>
    <row r="12" spans="1:7" ht="24.6">
      <c r="A12" s="1"/>
      <c r="B12" s="1"/>
      <c r="C12" s="1"/>
      <c r="D12" s="1"/>
      <c r="E12" s="1"/>
      <c r="F12" s="1"/>
    </row>
    <row r="13" spans="1:7" ht="24.6">
      <c r="A13" s="1"/>
      <c r="B13" s="1"/>
      <c r="C13" s="1"/>
      <c r="D13" s="1"/>
      <c r="E13" s="1"/>
      <c r="F13" s="1"/>
    </row>
    <row r="14" spans="1:7" ht="24.6">
      <c r="A14" s="1"/>
      <c r="B14" s="1"/>
      <c r="C14" s="1"/>
      <c r="D14" s="1"/>
      <c r="E14" s="1"/>
      <c r="F14" s="1"/>
    </row>
    <row r="15" spans="1:7" ht="24.6">
      <c r="A15" s="1"/>
      <c r="B15" s="1"/>
      <c r="C15" s="1"/>
      <c r="D15" s="1"/>
      <c r="E15" s="1"/>
      <c r="F15" s="1"/>
    </row>
    <row r="16" spans="1:7" ht="24.6">
      <c r="A16" s="1"/>
      <c r="B16" s="1"/>
      <c r="C16" s="1"/>
      <c r="D16" s="1"/>
      <c r="E16" s="1"/>
      <c r="F16" s="1"/>
    </row>
    <row r="17" spans="1:6" ht="24.6">
      <c r="A17" s="1"/>
      <c r="B17" s="1"/>
      <c r="C17" s="1"/>
      <c r="D17" s="1"/>
      <c r="E17" s="1"/>
      <c r="F17" s="1"/>
    </row>
    <row r="18" spans="1:6" ht="24.6">
      <c r="A18" s="1"/>
      <c r="B18" s="1"/>
      <c r="C18" s="1"/>
      <c r="D18" s="1"/>
      <c r="E18" s="1"/>
      <c r="F18" s="1"/>
    </row>
    <row r="19" spans="1:6" ht="24.6">
      <c r="A19" s="1"/>
      <c r="B19" s="1"/>
      <c r="C19" s="1"/>
      <c r="D19" s="1"/>
      <c r="E19" s="1"/>
      <c r="F19" s="1"/>
    </row>
    <row r="20" spans="1:6" ht="24.6">
      <c r="A20" s="1"/>
      <c r="B20" s="1"/>
      <c r="C20" s="1"/>
      <c r="D20" s="1"/>
      <c r="E20" s="1"/>
      <c r="F20" s="1"/>
    </row>
    <row r="21" spans="1:6" ht="24.6">
      <c r="A21" s="1"/>
      <c r="B21" s="1"/>
      <c r="C21" s="1"/>
      <c r="D21" s="1"/>
      <c r="E21" s="1"/>
      <c r="F21" s="1"/>
    </row>
    <row r="22" spans="1:6" ht="24.6">
      <c r="A22" s="1"/>
      <c r="B22" s="1"/>
      <c r="C22" s="1"/>
      <c r="D22" s="1"/>
      <c r="E22" s="1"/>
      <c r="F22" s="1"/>
    </row>
    <row r="23" spans="1:6" ht="24.6">
      <c r="A23" s="1"/>
      <c r="B23" s="1"/>
      <c r="C23" s="1"/>
      <c r="D23" s="1"/>
      <c r="E23" s="1"/>
      <c r="F23" s="1"/>
    </row>
    <row r="24" spans="1:6" ht="24.6">
      <c r="A24" s="1"/>
      <c r="B24" s="1"/>
      <c r="C24" s="1"/>
      <c r="D24" s="1"/>
      <c r="E24" s="1"/>
      <c r="F24" s="1"/>
    </row>
    <row r="25" spans="1:6" ht="24.6">
      <c r="A25" s="1"/>
      <c r="B25" s="1"/>
      <c r="C25" s="1"/>
      <c r="D25" s="1"/>
      <c r="E25" s="1"/>
      <c r="F25" s="1"/>
    </row>
    <row r="26" spans="1:6" ht="24.6">
      <c r="A26" s="1"/>
      <c r="B26" s="1"/>
      <c r="C26" s="1"/>
      <c r="D26" s="1"/>
      <c r="E26" s="1"/>
      <c r="F26" s="1"/>
    </row>
    <row r="27" spans="1:6" ht="24.6">
      <c r="A27" s="1"/>
      <c r="B27" s="1"/>
      <c r="C27" s="1"/>
      <c r="D27" s="1"/>
      <c r="E27" s="1"/>
      <c r="F27" s="1"/>
    </row>
    <row r="28" spans="1:6" ht="24.6">
      <c r="A28" s="1"/>
      <c r="B28" s="1"/>
      <c r="C28" s="1"/>
      <c r="D28" s="1"/>
      <c r="E28" s="1"/>
      <c r="F28" s="1"/>
    </row>
    <row r="29" spans="1:6" ht="24.6">
      <c r="A29" s="1"/>
      <c r="B29" s="1"/>
      <c r="C29" s="1"/>
      <c r="D29" s="1"/>
      <c r="E29" s="1"/>
      <c r="F29" s="1"/>
    </row>
    <row r="30" spans="1:6" ht="24.6">
      <c r="A30" s="1"/>
      <c r="B30" s="1"/>
      <c r="C30" s="1"/>
      <c r="D30" s="1"/>
      <c r="E30" s="1"/>
      <c r="F30" s="1"/>
    </row>
    <row r="31" spans="1:6" ht="24.6">
      <c r="A31" s="1"/>
      <c r="B31" s="1"/>
      <c r="C31" s="1"/>
      <c r="D31" s="1"/>
      <c r="E31" s="1"/>
      <c r="F31" s="1"/>
    </row>
    <row r="32" spans="1:6" ht="24.6">
      <c r="A32" s="1"/>
      <c r="B32" s="1"/>
      <c r="C32" s="1"/>
      <c r="D32" s="1"/>
      <c r="E32" s="1"/>
      <c r="F32" s="1"/>
    </row>
    <row r="33" spans="1:6" ht="24.6">
      <c r="A33" s="1"/>
      <c r="B33" s="1"/>
      <c r="C33" s="1"/>
      <c r="D33" s="1"/>
      <c r="E33" s="1"/>
      <c r="F33" s="1"/>
    </row>
    <row r="34" spans="1:6" ht="24.6">
      <c r="A34" s="1"/>
      <c r="B34" s="1"/>
      <c r="C34" s="1"/>
      <c r="D34" s="1"/>
      <c r="E34" s="1"/>
      <c r="F34" s="1"/>
    </row>
    <row r="35" spans="1:6" ht="24.6">
      <c r="A35" s="1"/>
      <c r="B35" s="1"/>
      <c r="C35" s="1"/>
      <c r="D35" s="1"/>
      <c r="E35" s="1"/>
      <c r="F35" s="1"/>
    </row>
    <row r="36" spans="1:6" ht="24.6">
      <c r="A36" s="1"/>
      <c r="B36" s="1"/>
      <c r="C36" s="1"/>
      <c r="D36" s="1"/>
      <c r="E36" s="1"/>
      <c r="F36" s="1"/>
    </row>
    <row r="37" spans="1:6" ht="24.6">
      <c r="A37" s="1"/>
      <c r="B37" s="1"/>
      <c r="C37" s="1"/>
      <c r="D37" s="1"/>
      <c r="E37" s="1"/>
      <c r="F37" s="1"/>
    </row>
    <row r="38" spans="1:6" ht="24.6">
      <c r="A38" s="1"/>
      <c r="B38" s="1"/>
      <c r="C38" s="1"/>
      <c r="D38" s="1"/>
      <c r="E38" s="1"/>
      <c r="F38" s="1"/>
    </row>
    <row r="39" spans="1:6" ht="24.6">
      <c r="A39" s="1"/>
      <c r="B39" s="1"/>
      <c r="C39" s="1"/>
      <c r="D39" s="1"/>
      <c r="E39" s="1"/>
      <c r="F39" s="1"/>
    </row>
    <row r="40" spans="1:6" ht="24.6">
      <c r="A40" s="1"/>
      <c r="B40" s="1"/>
      <c r="C40" s="1"/>
      <c r="D40" s="1"/>
      <c r="E40" s="1"/>
      <c r="F40" s="1"/>
    </row>
    <row r="41" spans="1:6" ht="24.6">
      <c r="A41" s="1"/>
      <c r="B41" s="1"/>
      <c r="C41" s="1"/>
      <c r="D41" s="1"/>
      <c r="E41" s="1"/>
      <c r="F41" s="1"/>
    </row>
    <row r="42" spans="1:6" ht="24.6">
      <c r="A42" s="1"/>
      <c r="B42" s="1"/>
      <c r="C42" s="1"/>
      <c r="D42" s="1"/>
      <c r="E42" s="1"/>
      <c r="F42" s="1"/>
    </row>
    <row r="43" spans="1:6" ht="24.6">
      <c r="A43" s="1"/>
      <c r="B43" s="1"/>
      <c r="C43" s="1"/>
      <c r="D43" s="1"/>
      <c r="E43" s="1"/>
      <c r="F43" s="1"/>
    </row>
    <row r="44" spans="1:6" ht="24.6">
      <c r="A44" s="1"/>
      <c r="B44" s="1"/>
      <c r="C44" s="1"/>
      <c r="D44" s="1"/>
      <c r="E44" s="1"/>
      <c r="F44" s="1"/>
    </row>
    <row r="45" spans="1:6" ht="24.6">
      <c r="A45" s="1"/>
      <c r="B45" s="1"/>
      <c r="C45" s="1"/>
      <c r="D45" s="1"/>
      <c r="E45" s="1"/>
      <c r="F45" s="1"/>
    </row>
  </sheetData>
  <mergeCells count="2">
    <mergeCell ref="A1:F1"/>
    <mergeCell ref="A6:C6"/>
  </mergeCells>
  <hyperlinks>
    <hyperlink ref="G1" location="'4.โครงการ รปศ ป.โท'!A1" display="รปศ. ปโท"/>
  </hyperlinks>
  <pageMargins left="3.937007874015748E-2" right="3.937007874015748E-2" top="0.74803149606299213" bottom="0.74803149606299213" header="0.31496062992125984" footer="0.31496062992125984"/>
  <pageSetup paperSize="9" orientation="landscape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11"/>
  <sheetViews>
    <sheetView workbookViewId="0">
      <selection activeCell="F1" sqref="F1"/>
    </sheetView>
  </sheetViews>
  <sheetFormatPr defaultColWidth="9.109375" defaultRowHeight="24.6"/>
  <cols>
    <col min="1" max="1" width="13.33203125" style="3" customWidth="1"/>
    <col min="2" max="2" width="64.33203125" style="1" customWidth="1"/>
    <col min="3" max="3" width="15.77734375" style="4" customWidth="1"/>
    <col min="4" max="4" width="15.33203125" style="4" customWidth="1"/>
    <col min="5" max="5" width="14.6640625" style="4" customWidth="1"/>
    <col min="6" max="16384" width="9.109375" style="1"/>
  </cols>
  <sheetData>
    <row r="1" spans="1:6">
      <c r="A1" s="129" t="s">
        <v>67</v>
      </c>
      <c r="B1" s="130"/>
      <c r="C1" s="130"/>
      <c r="D1" s="130"/>
      <c r="E1" s="130"/>
      <c r="F1" s="6" t="s">
        <v>8</v>
      </c>
    </row>
    <row r="2" spans="1:6">
      <c r="A2" s="117" t="s">
        <v>70</v>
      </c>
      <c r="B2" s="117"/>
      <c r="C2" s="117"/>
      <c r="D2" s="117"/>
      <c r="E2" s="117"/>
    </row>
    <row r="3" spans="1:6" s="2" customFormat="1" ht="30" customHeight="1">
      <c r="A3" s="28" t="s">
        <v>0</v>
      </c>
      <c r="B3" s="28" t="s">
        <v>1</v>
      </c>
      <c r="C3" s="29" t="s">
        <v>18</v>
      </c>
      <c r="D3" s="29" t="s">
        <v>3</v>
      </c>
      <c r="E3" s="29" t="s">
        <v>4</v>
      </c>
    </row>
    <row r="4" spans="1:6">
      <c r="A4" s="30"/>
      <c r="B4" s="31" t="s">
        <v>19</v>
      </c>
      <c r="C4" s="32">
        <v>3200</v>
      </c>
      <c r="D4" s="32"/>
      <c r="E4" s="32">
        <f>C4-D4</f>
        <v>3200</v>
      </c>
    </row>
    <row r="5" spans="1:6" ht="48" customHeight="1">
      <c r="A5" s="61" t="s">
        <v>68</v>
      </c>
      <c r="B5" s="15" t="s">
        <v>71</v>
      </c>
      <c r="C5" s="34">
        <f>'กิจกรรมที่ 5.1'!D6</f>
        <v>1600</v>
      </c>
      <c r="D5" s="34">
        <f>'กิจกรรมที่ 5.1'!E6</f>
        <v>1600</v>
      </c>
      <c r="E5" s="34">
        <f t="shared" ref="E5:E7" si="0">C5-D5</f>
        <v>0</v>
      </c>
    </row>
    <row r="6" spans="1:6" ht="48" customHeight="1">
      <c r="A6" s="61" t="s">
        <v>69</v>
      </c>
      <c r="B6" s="35" t="s">
        <v>72</v>
      </c>
      <c r="C6" s="34">
        <f>'กิจกรรมที่ 5.2'!D6</f>
        <v>1600</v>
      </c>
      <c r="D6" s="34">
        <f>'กิจกรรมที่ 5.2'!E6</f>
        <v>1600</v>
      </c>
      <c r="E6" s="34">
        <f t="shared" si="0"/>
        <v>0</v>
      </c>
    </row>
    <row r="7" spans="1:6">
      <c r="A7" s="118" t="s">
        <v>5</v>
      </c>
      <c r="B7" s="119"/>
      <c r="C7" s="32">
        <f>SUM(C5:C6)</f>
        <v>3200</v>
      </c>
      <c r="D7" s="32">
        <f>SUM(D5:D6)</f>
        <v>3200</v>
      </c>
      <c r="E7" s="32">
        <f t="shared" si="0"/>
        <v>0</v>
      </c>
    </row>
    <row r="8" spans="1:6">
      <c r="A8" s="40"/>
      <c r="B8" s="20"/>
      <c r="C8" s="41"/>
      <c r="D8" s="41"/>
      <c r="E8" s="41"/>
    </row>
    <row r="9" spans="1:6">
      <c r="A9" s="40"/>
      <c r="B9" s="20"/>
      <c r="C9" s="41"/>
      <c r="D9" s="41"/>
      <c r="E9" s="41"/>
    </row>
    <row r="10" spans="1:6">
      <c r="A10" s="40"/>
      <c r="B10" s="20"/>
      <c r="C10" s="41"/>
      <c r="D10" s="41"/>
      <c r="E10" s="41"/>
    </row>
    <row r="11" spans="1:6">
      <c r="A11" s="40"/>
      <c r="B11" s="20"/>
      <c r="C11" s="41"/>
      <c r="D11" s="41"/>
      <c r="E11" s="41"/>
    </row>
  </sheetData>
  <mergeCells count="3">
    <mergeCell ref="A1:E1"/>
    <mergeCell ref="A2:E2"/>
    <mergeCell ref="A7:B7"/>
  </mergeCells>
  <hyperlinks>
    <hyperlink ref="F1" location="หน้าหลัก!A1" display="หน้าหลัก"/>
    <hyperlink ref="A5" location="'กิจกรรมที่ 5.1'!A1" display="กิจกรรมที่5.1"/>
    <hyperlink ref="A6" location="'กิจกรรมที่ 5.2'!A1" display="กิจกรรมที่5.2"/>
  </hyperlinks>
  <pageMargins left="0.7" right="0.7" top="0.75" bottom="0.75" header="0.3" footer="0.3"/>
  <pageSetup paperSize="9" orientation="landscape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>
      <selection activeCell="G1" sqref="G1"/>
    </sheetView>
  </sheetViews>
  <sheetFormatPr defaultRowHeight="14.4"/>
  <cols>
    <col min="1" max="1" width="13.44140625" customWidth="1"/>
    <col min="2" max="2" width="15.88671875" customWidth="1"/>
    <col min="3" max="3" width="70.33203125" customWidth="1"/>
    <col min="4" max="4" width="12.88671875" customWidth="1"/>
    <col min="5" max="5" width="13.88671875" customWidth="1"/>
    <col min="6" max="6" width="12.77734375" customWidth="1"/>
  </cols>
  <sheetData>
    <row r="1" spans="1:7" ht="24" customHeight="1">
      <c r="A1" s="132" t="s">
        <v>71</v>
      </c>
      <c r="B1" s="132"/>
      <c r="C1" s="132"/>
      <c r="D1" s="132"/>
      <c r="E1" s="132"/>
      <c r="F1" s="132"/>
      <c r="G1" s="6" t="s">
        <v>73</v>
      </c>
    </row>
    <row r="2" spans="1:7" ht="24" customHeight="1">
      <c r="A2" s="45"/>
      <c r="B2" s="45"/>
      <c r="C2" s="45" t="s">
        <v>65</v>
      </c>
      <c r="D2" s="45"/>
      <c r="E2" s="45"/>
      <c r="F2" s="45"/>
      <c r="G2" s="6"/>
    </row>
    <row r="3" spans="1:7" ht="24.6">
      <c r="A3" s="21" t="s">
        <v>20</v>
      </c>
      <c r="B3" s="21" t="s">
        <v>21</v>
      </c>
      <c r="C3" s="21" t="s">
        <v>6</v>
      </c>
      <c r="D3" s="21" t="s">
        <v>14</v>
      </c>
      <c r="E3" s="21" t="s">
        <v>7</v>
      </c>
      <c r="F3" s="21" t="s">
        <v>4</v>
      </c>
    </row>
    <row r="4" spans="1:7" ht="24.6">
      <c r="A4" s="11"/>
      <c r="B4" s="11"/>
      <c r="C4" s="12" t="s">
        <v>71</v>
      </c>
      <c r="D4" s="13">
        <v>1600</v>
      </c>
      <c r="E4" s="13"/>
      <c r="F4" s="13">
        <f>D4-E4</f>
        <v>1600</v>
      </c>
    </row>
    <row r="5" spans="1:7" ht="72" customHeight="1">
      <c r="A5" s="14" t="s">
        <v>440</v>
      </c>
      <c r="B5" s="14" t="s">
        <v>442</v>
      </c>
      <c r="C5" s="15" t="s">
        <v>443</v>
      </c>
      <c r="D5" s="13"/>
      <c r="E5" s="13">
        <v>1600</v>
      </c>
      <c r="F5" s="13">
        <f>F4+D5-E5</f>
        <v>0</v>
      </c>
    </row>
    <row r="6" spans="1:7" ht="24.6">
      <c r="A6" s="126" t="s">
        <v>5</v>
      </c>
      <c r="B6" s="127"/>
      <c r="C6" s="128"/>
      <c r="D6" s="38">
        <f>SUM(D4:D5)</f>
        <v>1600</v>
      </c>
      <c r="E6" s="38">
        <f>SUM(E4:E5)</f>
        <v>1600</v>
      </c>
      <c r="F6" s="38">
        <f>D6-E6</f>
        <v>0</v>
      </c>
    </row>
    <row r="7" spans="1:7" ht="24.6">
      <c r="A7" s="20"/>
      <c r="B7" s="20"/>
      <c r="C7" s="20"/>
      <c r="D7" s="20"/>
      <c r="E7" s="20"/>
      <c r="F7" s="20"/>
    </row>
    <row r="8" spans="1:7" ht="24.6">
      <c r="A8" s="20"/>
      <c r="B8" s="20"/>
      <c r="C8" s="20" t="s">
        <v>35</v>
      </c>
      <c r="D8" s="20"/>
      <c r="E8" s="20"/>
      <c r="F8" s="20"/>
    </row>
    <row r="9" spans="1:7" ht="24.6">
      <c r="A9" s="20"/>
      <c r="B9" s="20"/>
      <c r="C9" s="20"/>
      <c r="D9" s="20"/>
      <c r="E9" s="20"/>
      <c r="F9" s="20"/>
    </row>
    <row r="10" spans="1:7" ht="24.6">
      <c r="A10" s="20"/>
      <c r="B10" s="20"/>
      <c r="C10" s="20"/>
      <c r="D10" s="20"/>
      <c r="E10" s="20"/>
      <c r="F10" s="20"/>
    </row>
    <row r="11" spans="1:7" ht="24.6">
      <c r="A11" s="1"/>
      <c r="B11" s="1"/>
      <c r="C11" s="1" t="s">
        <v>15</v>
      </c>
      <c r="D11" s="1"/>
      <c r="E11" s="1"/>
      <c r="F11" s="1"/>
    </row>
    <row r="12" spans="1:7" ht="24.6">
      <c r="A12" s="1"/>
      <c r="B12" s="1"/>
      <c r="C12" s="1"/>
      <c r="D12" s="1"/>
      <c r="E12" s="1"/>
      <c r="F12" s="1"/>
    </row>
    <row r="13" spans="1:7" ht="24.6">
      <c r="A13" s="1"/>
      <c r="B13" s="1"/>
      <c r="C13" s="1"/>
      <c r="D13" s="1"/>
      <c r="E13" s="1"/>
      <c r="F13" s="1"/>
    </row>
    <row r="14" spans="1:7" ht="24.6">
      <c r="A14" s="1"/>
      <c r="B14" s="1"/>
      <c r="C14" s="1"/>
      <c r="D14" s="1"/>
      <c r="E14" s="1"/>
      <c r="F14" s="1"/>
    </row>
    <row r="15" spans="1:7" ht="24.6">
      <c r="A15" s="1"/>
      <c r="B15" s="1"/>
      <c r="C15" s="1"/>
      <c r="D15" s="1"/>
      <c r="E15" s="1"/>
      <c r="F15" s="1"/>
    </row>
    <row r="16" spans="1:7" ht="24.6">
      <c r="A16" s="1"/>
      <c r="B16" s="1"/>
      <c r="C16" s="1"/>
      <c r="D16" s="1"/>
      <c r="E16" s="1"/>
      <c r="F16" s="1"/>
    </row>
    <row r="17" spans="1:6" ht="24.6">
      <c r="A17" s="1"/>
      <c r="B17" s="1"/>
      <c r="C17" s="1"/>
      <c r="D17" s="1"/>
      <c r="E17" s="1"/>
      <c r="F17" s="1"/>
    </row>
    <row r="18" spans="1:6" ht="24.6">
      <c r="A18" s="1"/>
      <c r="B18" s="1"/>
      <c r="C18" s="1"/>
      <c r="D18" s="1"/>
      <c r="E18" s="1"/>
      <c r="F18" s="1"/>
    </row>
    <row r="19" spans="1:6" ht="24.6">
      <c r="A19" s="1"/>
      <c r="B19" s="1"/>
      <c r="C19" s="1"/>
      <c r="D19" s="1"/>
      <c r="E19" s="1"/>
      <c r="F19" s="1"/>
    </row>
    <row r="20" spans="1:6" ht="24.6">
      <c r="A20" s="1"/>
      <c r="B20" s="1"/>
      <c r="C20" s="1"/>
      <c r="D20" s="1"/>
      <c r="E20" s="1"/>
      <c r="F20" s="1"/>
    </row>
    <row r="21" spans="1:6" ht="24.6">
      <c r="A21" s="1"/>
      <c r="B21" s="1"/>
      <c r="C21" s="1"/>
      <c r="D21" s="1"/>
      <c r="E21" s="1"/>
      <c r="F21" s="1"/>
    </row>
    <row r="22" spans="1:6" ht="24.6">
      <c r="A22" s="1"/>
      <c r="B22" s="1"/>
      <c r="C22" s="1"/>
      <c r="D22" s="1"/>
      <c r="E22" s="1"/>
      <c r="F22" s="1"/>
    </row>
    <row r="23" spans="1:6" ht="24.6">
      <c r="A23" s="1"/>
      <c r="B23" s="1"/>
      <c r="C23" s="1"/>
      <c r="D23" s="1"/>
      <c r="E23" s="1"/>
      <c r="F23" s="1"/>
    </row>
    <row r="24" spans="1:6" ht="24.6">
      <c r="A24" s="1"/>
      <c r="B24" s="1"/>
      <c r="C24" s="1"/>
      <c r="D24" s="1"/>
      <c r="E24" s="1"/>
      <c r="F24" s="1"/>
    </row>
    <row r="25" spans="1:6" ht="24.6">
      <c r="A25" s="1"/>
      <c r="B25" s="1"/>
      <c r="C25" s="1"/>
      <c r="D25" s="1"/>
      <c r="E25" s="1"/>
      <c r="F25" s="1"/>
    </row>
    <row r="26" spans="1:6" ht="24.6">
      <c r="A26" s="1"/>
      <c r="B26" s="1"/>
      <c r="C26" s="1"/>
      <c r="D26" s="1"/>
      <c r="E26" s="1"/>
      <c r="F26" s="1"/>
    </row>
    <row r="27" spans="1:6" ht="24.6">
      <c r="A27" s="1"/>
      <c r="B27" s="1"/>
      <c r="C27" s="1"/>
      <c r="D27" s="1"/>
      <c r="E27" s="1"/>
      <c r="F27" s="1"/>
    </row>
    <row r="28" spans="1:6" ht="24.6">
      <c r="A28" s="1"/>
      <c r="B28" s="1"/>
      <c r="C28" s="1"/>
      <c r="D28" s="1"/>
      <c r="E28" s="1"/>
      <c r="F28" s="1"/>
    </row>
    <row r="29" spans="1:6" ht="24.6">
      <c r="A29" s="1"/>
      <c r="B29" s="1"/>
      <c r="C29" s="1"/>
      <c r="D29" s="1"/>
      <c r="E29" s="1"/>
      <c r="F29" s="1"/>
    </row>
    <row r="30" spans="1:6" ht="24.6">
      <c r="A30" s="1"/>
      <c r="B30" s="1"/>
      <c r="C30" s="1"/>
      <c r="D30" s="1"/>
      <c r="E30" s="1"/>
      <c r="F30" s="1"/>
    </row>
    <row r="31" spans="1:6" ht="24.6">
      <c r="A31" s="1"/>
      <c r="B31" s="1"/>
      <c r="C31" s="1"/>
      <c r="D31" s="1"/>
      <c r="E31" s="1"/>
      <c r="F31" s="1"/>
    </row>
    <row r="32" spans="1:6" ht="24.6">
      <c r="A32" s="1"/>
      <c r="B32" s="1"/>
      <c r="C32" s="1"/>
      <c r="D32" s="1"/>
      <c r="E32" s="1"/>
      <c r="F32" s="1"/>
    </row>
    <row r="33" spans="1:6" ht="24.6">
      <c r="A33" s="1"/>
      <c r="B33" s="1"/>
      <c r="C33" s="1"/>
      <c r="D33" s="1"/>
      <c r="E33" s="1"/>
      <c r="F33" s="1"/>
    </row>
    <row r="34" spans="1:6" ht="24.6">
      <c r="A34" s="1"/>
      <c r="B34" s="1"/>
      <c r="C34" s="1"/>
      <c r="D34" s="1"/>
      <c r="E34" s="1"/>
      <c r="F34" s="1"/>
    </row>
    <row r="35" spans="1:6" ht="24.6">
      <c r="A35" s="1"/>
      <c r="B35" s="1"/>
      <c r="C35" s="1"/>
      <c r="D35" s="1"/>
      <c r="E35" s="1"/>
      <c r="F35" s="1"/>
    </row>
    <row r="36" spans="1:6" ht="24.6">
      <c r="A36" s="1"/>
      <c r="B36" s="1"/>
      <c r="C36" s="1"/>
      <c r="D36" s="1"/>
      <c r="E36" s="1"/>
      <c r="F36" s="1"/>
    </row>
    <row r="37" spans="1:6" ht="24.6">
      <c r="A37" s="1"/>
      <c r="B37" s="1"/>
      <c r="C37" s="1"/>
      <c r="D37" s="1"/>
      <c r="E37" s="1"/>
      <c r="F37" s="1"/>
    </row>
    <row r="38" spans="1:6" ht="24.6">
      <c r="A38" s="1"/>
      <c r="B38" s="1"/>
      <c r="C38" s="1"/>
      <c r="D38" s="1"/>
      <c r="E38" s="1"/>
      <c r="F38" s="1"/>
    </row>
    <row r="39" spans="1:6" ht="24.6">
      <c r="A39" s="1"/>
      <c r="B39" s="1"/>
      <c r="C39" s="1"/>
      <c r="D39" s="1"/>
      <c r="E39" s="1"/>
      <c r="F39" s="1"/>
    </row>
    <row r="40" spans="1:6" ht="24.6">
      <c r="A40" s="1"/>
      <c r="B40" s="1"/>
      <c r="C40" s="1"/>
      <c r="D40" s="1"/>
      <c r="E40" s="1"/>
      <c r="F40" s="1"/>
    </row>
    <row r="41" spans="1:6" ht="24.6">
      <c r="A41" s="1"/>
      <c r="B41" s="1"/>
      <c r="C41" s="1"/>
      <c r="D41" s="1"/>
      <c r="E41" s="1"/>
      <c r="F41" s="1"/>
    </row>
    <row r="42" spans="1:6" ht="24.6">
      <c r="A42" s="1"/>
      <c r="B42" s="1"/>
      <c r="C42" s="1"/>
      <c r="D42" s="1"/>
      <c r="E42" s="1"/>
      <c r="F42" s="1"/>
    </row>
    <row r="43" spans="1:6" ht="24.6">
      <c r="A43" s="1"/>
      <c r="B43" s="1"/>
      <c r="C43" s="1"/>
      <c r="D43" s="1"/>
      <c r="E43" s="1"/>
      <c r="F43" s="1"/>
    </row>
    <row r="44" spans="1:6" ht="24.6">
      <c r="A44" s="1"/>
      <c r="B44" s="1"/>
      <c r="C44" s="1"/>
      <c r="D44" s="1"/>
      <c r="E44" s="1"/>
      <c r="F44" s="1"/>
    </row>
    <row r="45" spans="1:6" ht="24.6">
      <c r="A45" s="1"/>
      <c r="B45" s="1"/>
      <c r="C45" s="1"/>
      <c r="D45" s="1"/>
      <c r="E45" s="1"/>
      <c r="F45" s="1"/>
    </row>
  </sheetData>
  <mergeCells count="2">
    <mergeCell ref="A1:F1"/>
    <mergeCell ref="A6:C6"/>
  </mergeCells>
  <hyperlinks>
    <hyperlink ref="G1" location="'5.โครงการ รัฐศาสตร์ ป.โท '!A1" display="รัฐศาสตร์ ป.โท"/>
  </hyperlinks>
  <pageMargins left="3.937007874015748E-2" right="3.937007874015748E-2" top="0.74803149606299213" bottom="0.74803149606299213" header="0.31496062992125984" footer="0.31496062992125984"/>
  <pageSetup paperSize="9" orientation="landscape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>
      <selection activeCell="G1" sqref="G1"/>
    </sheetView>
  </sheetViews>
  <sheetFormatPr defaultRowHeight="14.4"/>
  <cols>
    <col min="1" max="1" width="13.44140625" customWidth="1"/>
    <col min="2" max="2" width="15.88671875" customWidth="1"/>
    <col min="3" max="3" width="70.33203125" customWidth="1"/>
    <col min="4" max="4" width="12.88671875" customWidth="1"/>
    <col min="5" max="5" width="13.88671875" customWidth="1"/>
    <col min="6" max="6" width="12.77734375" customWidth="1"/>
  </cols>
  <sheetData>
    <row r="1" spans="1:7" ht="24" customHeight="1">
      <c r="A1" s="132" t="s">
        <v>72</v>
      </c>
      <c r="B1" s="132"/>
      <c r="C1" s="132"/>
      <c r="D1" s="132"/>
      <c r="E1" s="132"/>
      <c r="F1" s="132"/>
      <c r="G1" s="6" t="s">
        <v>73</v>
      </c>
    </row>
    <row r="2" spans="1:7" ht="24" customHeight="1">
      <c r="A2" s="59"/>
      <c r="B2" s="59"/>
      <c r="C2" s="59" t="s">
        <v>22</v>
      </c>
      <c r="D2" s="59"/>
      <c r="E2" s="59"/>
      <c r="F2" s="59"/>
      <c r="G2" s="6"/>
    </row>
    <row r="3" spans="1:7" ht="24.6">
      <c r="A3" s="21" t="s">
        <v>20</v>
      </c>
      <c r="B3" s="21" t="s">
        <v>21</v>
      </c>
      <c r="C3" s="21" t="s">
        <v>6</v>
      </c>
      <c r="D3" s="21" t="s">
        <v>14</v>
      </c>
      <c r="E3" s="21" t="s">
        <v>7</v>
      </c>
      <c r="F3" s="21" t="s">
        <v>4</v>
      </c>
    </row>
    <row r="4" spans="1:7" ht="49.2">
      <c r="A4" s="11"/>
      <c r="B4" s="11"/>
      <c r="C4" s="15" t="s">
        <v>72</v>
      </c>
      <c r="D4" s="13">
        <v>1600</v>
      </c>
      <c r="E4" s="13"/>
      <c r="F4" s="13">
        <f>D4-E4</f>
        <v>1600</v>
      </c>
    </row>
    <row r="5" spans="1:7" ht="72" customHeight="1">
      <c r="A5" s="14" t="s">
        <v>440</v>
      </c>
      <c r="B5" s="14" t="s">
        <v>444</v>
      </c>
      <c r="C5" s="15" t="s">
        <v>445</v>
      </c>
      <c r="D5" s="13"/>
      <c r="E5" s="13">
        <v>1600</v>
      </c>
      <c r="F5" s="13">
        <f>F4-E5</f>
        <v>0</v>
      </c>
    </row>
    <row r="6" spans="1:7" ht="24.6">
      <c r="A6" s="126" t="s">
        <v>5</v>
      </c>
      <c r="B6" s="127"/>
      <c r="C6" s="128"/>
      <c r="D6" s="38">
        <f>D4</f>
        <v>1600</v>
      </c>
      <c r="E6" s="38">
        <f>SUM(E4:E5)</f>
        <v>1600</v>
      </c>
      <c r="F6" s="38">
        <f>D6-E6</f>
        <v>0</v>
      </c>
    </row>
    <row r="7" spans="1:7" ht="24.6">
      <c r="A7" s="20"/>
      <c r="B7" s="20"/>
      <c r="C7" s="20"/>
      <c r="D7" s="20"/>
      <c r="E7" s="20"/>
      <c r="F7" s="20"/>
    </row>
    <row r="8" spans="1:7" ht="24.6">
      <c r="A8" s="20"/>
      <c r="B8" s="20"/>
      <c r="C8" s="20" t="s">
        <v>35</v>
      </c>
      <c r="D8" s="20"/>
      <c r="E8" s="20"/>
      <c r="F8" s="20"/>
    </row>
    <row r="9" spans="1:7" ht="24.6">
      <c r="A9" s="20"/>
      <c r="B9" s="20"/>
      <c r="C9" s="20"/>
      <c r="D9" s="20"/>
      <c r="E9" s="20"/>
      <c r="F9" s="20"/>
    </row>
    <row r="10" spans="1:7" ht="24.6">
      <c r="A10" s="20"/>
      <c r="B10" s="20"/>
      <c r="C10" s="20"/>
      <c r="D10" s="20"/>
      <c r="E10" s="20"/>
      <c r="F10" s="20"/>
    </row>
    <row r="11" spans="1:7" ht="24.6">
      <c r="A11" s="20"/>
      <c r="B11" s="20"/>
      <c r="C11" s="20" t="s">
        <v>15</v>
      </c>
      <c r="D11" s="20"/>
      <c r="E11" s="20"/>
      <c r="F11" s="20"/>
    </row>
    <row r="12" spans="1:7" ht="24.6">
      <c r="A12" s="20"/>
      <c r="B12" s="20"/>
      <c r="C12" s="20"/>
      <c r="D12" s="20"/>
      <c r="E12" s="20"/>
      <c r="F12" s="20"/>
    </row>
    <row r="13" spans="1:7" ht="24.6">
      <c r="A13" s="20"/>
      <c r="B13" s="20"/>
      <c r="C13" s="20"/>
      <c r="D13" s="20"/>
      <c r="E13" s="20"/>
      <c r="F13" s="20"/>
    </row>
    <row r="14" spans="1:7" ht="24.6">
      <c r="A14" s="20"/>
      <c r="B14" s="20"/>
      <c r="C14" s="20"/>
      <c r="D14" s="20"/>
      <c r="E14" s="20"/>
      <c r="F14" s="20"/>
    </row>
    <row r="15" spans="1:7" ht="24.6">
      <c r="A15" s="20"/>
      <c r="B15" s="20"/>
      <c r="C15" s="20"/>
      <c r="D15" s="20"/>
      <c r="E15" s="20"/>
      <c r="F15" s="20"/>
    </row>
    <row r="16" spans="1:7" ht="24.6">
      <c r="A16" s="1"/>
      <c r="B16" s="1"/>
      <c r="C16" s="1"/>
      <c r="D16" s="1"/>
      <c r="E16" s="1"/>
      <c r="F16" s="1"/>
    </row>
    <row r="17" spans="1:6" ht="24.6">
      <c r="A17" s="1"/>
      <c r="B17" s="1"/>
      <c r="C17" s="1"/>
      <c r="D17" s="1"/>
      <c r="E17" s="1"/>
      <c r="F17" s="1"/>
    </row>
    <row r="18" spans="1:6" ht="24.6">
      <c r="A18" s="1"/>
      <c r="B18" s="1"/>
      <c r="C18" s="1"/>
      <c r="D18" s="1"/>
      <c r="E18" s="1"/>
      <c r="F18" s="1"/>
    </row>
    <row r="19" spans="1:6" ht="24.6">
      <c r="A19" s="1"/>
      <c r="B19" s="1"/>
      <c r="C19" s="1"/>
      <c r="D19" s="1"/>
      <c r="E19" s="1"/>
      <c r="F19" s="1"/>
    </row>
    <row r="20" spans="1:6" ht="24.6">
      <c r="A20" s="1"/>
      <c r="B20" s="1"/>
      <c r="C20" s="1"/>
      <c r="D20" s="1"/>
      <c r="E20" s="1"/>
      <c r="F20" s="1"/>
    </row>
    <row r="21" spans="1:6" ht="24.6">
      <c r="A21" s="1"/>
      <c r="B21" s="1"/>
      <c r="C21" s="1"/>
      <c r="D21" s="1"/>
      <c r="E21" s="1"/>
      <c r="F21" s="1"/>
    </row>
    <row r="22" spans="1:6" ht="24.6">
      <c r="A22" s="1"/>
      <c r="B22" s="1"/>
      <c r="C22" s="1"/>
      <c r="D22" s="1"/>
      <c r="E22" s="1"/>
      <c r="F22" s="1"/>
    </row>
    <row r="23" spans="1:6" ht="24.6">
      <c r="A23" s="1"/>
      <c r="B23" s="1"/>
      <c r="C23" s="1"/>
      <c r="D23" s="1"/>
      <c r="E23" s="1"/>
      <c r="F23" s="1"/>
    </row>
    <row r="24" spans="1:6" ht="24.6">
      <c r="A24" s="1"/>
      <c r="B24" s="1"/>
      <c r="C24" s="1"/>
      <c r="D24" s="1"/>
      <c r="E24" s="1"/>
      <c r="F24" s="1"/>
    </row>
    <row r="25" spans="1:6" ht="24.6">
      <c r="A25" s="1"/>
      <c r="B25" s="1"/>
      <c r="C25" s="1"/>
      <c r="D25" s="1"/>
      <c r="E25" s="1"/>
      <c r="F25" s="1"/>
    </row>
    <row r="26" spans="1:6" ht="24.6">
      <c r="A26" s="1"/>
      <c r="B26" s="1"/>
      <c r="C26" s="1"/>
      <c r="D26" s="1"/>
      <c r="E26" s="1"/>
      <c r="F26" s="1"/>
    </row>
    <row r="27" spans="1:6" ht="24.6">
      <c r="A27" s="1"/>
      <c r="B27" s="1"/>
      <c r="C27" s="1"/>
      <c r="D27" s="1"/>
      <c r="E27" s="1"/>
      <c r="F27" s="1"/>
    </row>
    <row r="28" spans="1:6" ht="24.6">
      <c r="A28" s="1"/>
      <c r="B28" s="1"/>
      <c r="C28" s="1"/>
      <c r="D28" s="1"/>
      <c r="E28" s="1"/>
      <c r="F28" s="1"/>
    </row>
    <row r="29" spans="1:6" ht="24.6">
      <c r="A29" s="1"/>
      <c r="B29" s="1"/>
      <c r="C29" s="1"/>
      <c r="D29" s="1"/>
      <c r="E29" s="1"/>
      <c r="F29" s="1"/>
    </row>
    <row r="30" spans="1:6" ht="24.6">
      <c r="A30" s="1"/>
      <c r="B30" s="1"/>
      <c r="C30" s="1"/>
      <c r="D30" s="1"/>
      <c r="E30" s="1"/>
      <c r="F30" s="1"/>
    </row>
    <row r="31" spans="1:6" ht="24.6">
      <c r="A31" s="1"/>
      <c r="B31" s="1"/>
      <c r="C31" s="1"/>
      <c r="D31" s="1"/>
      <c r="E31" s="1"/>
      <c r="F31" s="1"/>
    </row>
    <row r="32" spans="1:6" ht="24.6">
      <c r="A32" s="1"/>
      <c r="B32" s="1"/>
      <c r="C32" s="1"/>
      <c r="D32" s="1"/>
      <c r="E32" s="1"/>
      <c r="F32" s="1"/>
    </row>
    <row r="33" spans="1:6" ht="24.6">
      <c r="A33" s="1"/>
      <c r="B33" s="1"/>
      <c r="C33" s="1"/>
      <c r="D33" s="1"/>
      <c r="E33" s="1"/>
      <c r="F33" s="1"/>
    </row>
    <row r="34" spans="1:6" ht="24.6">
      <c r="A34" s="1"/>
      <c r="B34" s="1"/>
      <c r="C34" s="1"/>
      <c r="D34" s="1"/>
      <c r="E34" s="1"/>
      <c r="F34" s="1"/>
    </row>
    <row r="35" spans="1:6" ht="24.6">
      <c r="A35" s="1"/>
      <c r="B35" s="1"/>
      <c r="C35" s="1"/>
      <c r="D35" s="1"/>
      <c r="E35" s="1"/>
      <c r="F35" s="1"/>
    </row>
    <row r="36" spans="1:6" ht="24.6">
      <c r="A36" s="1"/>
      <c r="B36" s="1"/>
      <c r="C36" s="1"/>
      <c r="D36" s="1"/>
      <c r="E36" s="1"/>
      <c r="F36" s="1"/>
    </row>
    <row r="37" spans="1:6" ht="24.6">
      <c r="A37" s="1"/>
      <c r="B37" s="1"/>
      <c r="C37" s="1"/>
      <c r="D37" s="1"/>
      <c r="E37" s="1"/>
      <c r="F37" s="1"/>
    </row>
    <row r="38" spans="1:6" ht="24.6">
      <c r="A38" s="1"/>
      <c r="B38" s="1"/>
      <c r="C38" s="1"/>
      <c r="D38" s="1"/>
      <c r="E38" s="1"/>
      <c r="F38" s="1"/>
    </row>
    <row r="39" spans="1:6" ht="24.6">
      <c r="A39" s="1"/>
      <c r="B39" s="1"/>
      <c r="C39" s="1"/>
      <c r="D39" s="1"/>
      <c r="E39" s="1"/>
      <c r="F39" s="1"/>
    </row>
    <row r="40" spans="1:6" ht="24.6">
      <c r="A40" s="1"/>
      <c r="B40" s="1"/>
      <c r="C40" s="1"/>
      <c r="D40" s="1"/>
      <c r="E40" s="1"/>
      <c r="F40" s="1"/>
    </row>
    <row r="41" spans="1:6" ht="24.6">
      <c r="A41" s="1"/>
      <c r="B41" s="1"/>
      <c r="C41" s="1"/>
      <c r="D41" s="1"/>
      <c r="E41" s="1"/>
      <c r="F41" s="1"/>
    </row>
    <row r="42" spans="1:6" ht="24.6">
      <c r="A42" s="1"/>
      <c r="B42" s="1"/>
      <c r="C42" s="1"/>
      <c r="D42" s="1"/>
      <c r="E42" s="1"/>
      <c r="F42" s="1"/>
    </row>
    <row r="43" spans="1:6" ht="24.6">
      <c r="A43" s="1"/>
      <c r="B43" s="1"/>
      <c r="C43" s="1"/>
      <c r="D43" s="1"/>
      <c r="E43" s="1"/>
      <c r="F43" s="1"/>
    </row>
    <row r="44" spans="1:6" ht="24.6">
      <c r="A44" s="1"/>
      <c r="B44" s="1"/>
      <c r="C44" s="1"/>
      <c r="D44" s="1"/>
      <c r="E44" s="1"/>
      <c r="F44" s="1"/>
    </row>
    <row r="45" spans="1:6" ht="24.6">
      <c r="A45" s="1"/>
      <c r="B45" s="1"/>
      <c r="C45" s="1"/>
      <c r="D45" s="1"/>
      <c r="E45" s="1"/>
      <c r="F45" s="1"/>
    </row>
  </sheetData>
  <mergeCells count="2">
    <mergeCell ref="A1:F1"/>
    <mergeCell ref="A6:C6"/>
  </mergeCells>
  <hyperlinks>
    <hyperlink ref="G1" location="'5.โครงการ รัฐศาสตร์ ป.โท '!A1" display="รัฐศาสตร์ ป.โท"/>
  </hyperlinks>
  <pageMargins left="3.937007874015748E-2" right="3.937007874015748E-2" top="0.74803149606299213" bottom="0.74803149606299213" header="0.31496062992125984" footer="0.31496062992125984"/>
  <pageSetup paperSize="9" orientation="landscape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16"/>
  <sheetViews>
    <sheetView workbookViewId="0">
      <selection activeCell="F1" sqref="F1"/>
    </sheetView>
  </sheetViews>
  <sheetFormatPr defaultColWidth="9.109375" defaultRowHeight="24.6"/>
  <cols>
    <col min="1" max="1" width="15.5546875" style="3" customWidth="1"/>
    <col min="2" max="2" width="68.33203125" style="1" customWidth="1"/>
    <col min="3" max="3" width="15.77734375" style="4" customWidth="1"/>
    <col min="4" max="4" width="15.33203125" style="4" customWidth="1"/>
    <col min="5" max="5" width="14.6640625" style="4" customWidth="1"/>
    <col min="6" max="16384" width="9.109375" style="1"/>
  </cols>
  <sheetData>
    <row r="1" spans="1:6">
      <c r="A1" s="129" t="s">
        <v>77</v>
      </c>
      <c r="B1" s="130"/>
      <c r="C1" s="130"/>
      <c r="D1" s="130"/>
      <c r="E1" s="130"/>
      <c r="F1" s="6" t="s">
        <v>8</v>
      </c>
    </row>
    <row r="2" spans="1:6">
      <c r="A2" s="117" t="s">
        <v>23</v>
      </c>
      <c r="B2" s="117"/>
      <c r="C2" s="117"/>
      <c r="D2" s="117"/>
      <c r="E2" s="117"/>
    </row>
    <row r="3" spans="1:6" s="2" customFormat="1" ht="30" customHeight="1">
      <c r="A3" s="28" t="s">
        <v>0</v>
      </c>
      <c r="B3" s="28" t="s">
        <v>1</v>
      </c>
      <c r="C3" s="29" t="s">
        <v>18</v>
      </c>
      <c r="D3" s="29" t="s">
        <v>3</v>
      </c>
      <c r="E3" s="29" t="s">
        <v>4</v>
      </c>
    </row>
    <row r="4" spans="1:6">
      <c r="A4" s="30"/>
      <c r="B4" s="31" t="s">
        <v>19</v>
      </c>
      <c r="C4" s="32">
        <v>3756000</v>
      </c>
      <c r="D4" s="32"/>
      <c r="E4" s="32">
        <f>C4-D4</f>
        <v>3756000</v>
      </c>
    </row>
    <row r="5" spans="1:6" ht="48" customHeight="1">
      <c r="A5" s="61" t="s">
        <v>29</v>
      </c>
      <c r="B5" s="39" t="s">
        <v>78</v>
      </c>
      <c r="C5" s="34">
        <f>'กิจกรรมที่ 6.1.'!D38</f>
        <v>1128500</v>
      </c>
      <c r="D5" s="34">
        <f>'กิจกรรมที่ 6.1.'!E38</f>
        <v>458000</v>
      </c>
      <c r="E5" s="34">
        <f>C5-D5</f>
        <v>670500</v>
      </c>
    </row>
    <row r="6" spans="1:6" ht="48" customHeight="1">
      <c r="A6" s="61" t="s">
        <v>30</v>
      </c>
      <c r="B6" s="35" t="s">
        <v>81</v>
      </c>
      <c r="C6" s="34">
        <f>'กิจกรรมที่ 6.2.'!D17</f>
        <v>743000</v>
      </c>
      <c r="D6" s="34">
        <f>'กิจกรรมที่ 6.2.'!E17</f>
        <v>260000</v>
      </c>
      <c r="E6" s="34">
        <f t="shared" ref="E6:E10" si="0">C6-D6</f>
        <v>483000</v>
      </c>
    </row>
    <row r="7" spans="1:6" ht="24" customHeight="1">
      <c r="A7" s="61" t="s">
        <v>31</v>
      </c>
      <c r="B7" s="36" t="s">
        <v>82</v>
      </c>
      <c r="C7" s="34">
        <f>'กิจกรรมที่ 6.3.'!D16</f>
        <v>569000</v>
      </c>
      <c r="D7" s="34">
        <f>'กิจกรรมที่ 6.3.'!E16</f>
        <v>171100</v>
      </c>
      <c r="E7" s="34">
        <f t="shared" si="0"/>
        <v>397900</v>
      </c>
    </row>
    <row r="8" spans="1:6" ht="24" customHeight="1">
      <c r="A8" s="61" t="s">
        <v>32</v>
      </c>
      <c r="B8" s="36" t="s">
        <v>83</v>
      </c>
      <c r="C8" s="34">
        <f>'กิจกรรมที่ 6.4.'!D31</f>
        <v>1137000</v>
      </c>
      <c r="D8" s="34">
        <f>'กิจกรรมที่ 6.4.'!E31</f>
        <v>608950</v>
      </c>
      <c r="E8" s="34">
        <f t="shared" si="0"/>
        <v>528050</v>
      </c>
    </row>
    <row r="9" spans="1:6" ht="24" customHeight="1">
      <c r="A9" s="66" t="s">
        <v>33</v>
      </c>
      <c r="B9" s="36" t="s">
        <v>84</v>
      </c>
      <c r="C9" s="34">
        <f>'กิจกรรมที่ 6.5.'!D19</f>
        <v>178500</v>
      </c>
      <c r="D9" s="34">
        <f>'กิจกรรมที่ 6.5.'!E19</f>
        <v>178500</v>
      </c>
      <c r="E9" s="34">
        <f t="shared" si="0"/>
        <v>0</v>
      </c>
    </row>
    <row r="10" spans="1:6">
      <c r="A10" s="118" t="s">
        <v>5</v>
      </c>
      <c r="B10" s="119"/>
      <c r="C10" s="32">
        <f>SUM(C5:C9)</f>
        <v>3756000</v>
      </c>
      <c r="D10" s="32">
        <f>SUM(D5:D9)</f>
        <v>1676550</v>
      </c>
      <c r="E10" s="32">
        <f t="shared" si="0"/>
        <v>2079450</v>
      </c>
    </row>
    <row r="11" spans="1:6">
      <c r="A11" s="40"/>
      <c r="B11" s="20"/>
      <c r="C11" s="41"/>
      <c r="D11" s="41"/>
      <c r="E11" s="41"/>
    </row>
    <row r="12" spans="1:6">
      <c r="A12" s="133" t="s">
        <v>24</v>
      </c>
      <c r="B12" s="133"/>
      <c r="C12" s="41"/>
      <c r="D12" s="41"/>
      <c r="E12" s="41"/>
    </row>
    <row r="13" spans="1:6">
      <c r="B13" s="8"/>
    </row>
    <row r="14" spans="1:6">
      <c r="B14" s="8"/>
    </row>
    <row r="15" spans="1:6">
      <c r="B15" s="8"/>
    </row>
    <row r="16" spans="1:6">
      <c r="B16" s="8"/>
    </row>
  </sheetData>
  <mergeCells count="4">
    <mergeCell ref="A1:E1"/>
    <mergeCell ref="A2:E2"/>
    <mergeCell ref="A10:B10"/>
    <mergeCell ref="A12:B12"/>
  </mergeCells>
  <hyperlinks>
    <hyperlink ref="F1" location="หน้าหลัก!A1" display="หน้าหลัก"/>
    <hyperlink ref="A5" location="'กิจกรรมที่ 6.1.'!A1" display="กิจกรรมที่ 6.1"/>
    <hyperlink ref="A6" location="'กิจกรรมที่ 6.2.'!A1" display="กิจกรรมที่ 6.2"/>
    <hyperlink ref="A7:A8" location="'กิจกรรมที่ 4.2'!A1" display="กิจกรรมที่ 4.2"/>
    <hyperlink ref="A7" location="'กิจกรรมที่ 6.3.'!A1" display="กิจกรรมที่ 6.3"/>
    <hyperlink ref="A8" location="'กิจกรรมที่ 6.4.'!A1" display="กิจกรรมที่ 6.4"/>
    <hyperlink ref="A9" location="'กิจกรรมที่ 6.5.'!A1" display="กิจกรรมที่ 6.5"/>
  </hyperlinks>
  <pageMargins left="0.7" right="0.7" top="0.75" bottom="0.75" header="0.3" footer="0.3"/>
  <pageSetup paperSize="9" orientation="landscape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Views>
    <sheetView workbookViewId="0">
      <selection activeCell="G1" sqref="G1"/>
    </sheetView>
  </sheetViews>
  <sheetFormatPr defaultRowHeight="14.4"/>
  <cols>
    <col min="1" max="1" width="13.44140625" customWidth="1"/>
    <col min="2" max="2" width="15.88671875" customWidth="1"/>
    <col min="3" max="3" width="70.33203125" customWidth="1"/>
    <col min="4" max="4" width="14.44140625" customWidth="1"/>
    <col min="5" max="5" width="13.88671875" customWidth="1"/>
    <col min="6" max="6" width="15.33203125" customWidth="1"/>
  </cols>
  <sheetData>
    <row r="1" spans="1:7" ht="48" customHeight="1">
      <c r="A1" s="134" t="s">
        <v>80</v>
      </c>
      <c r="B1" s="135"/>
      <c r="C1" s="135"/>
      <c r="D1" s="135"/>
      <c r="E1" s="135"/>
      <c r="F1" s="135"/>
      <c r="G1" s="6" t="s">
        <v>28</v>
      </c>
    </row>
    <row r="2" spans="1:7" ht="24" customHeight="1">
      <c r="A2" s="37"/>
      <c r="B2" s="37"/>
      <c r="C2" s="37" t="s">
        <v>79</v>
      </c>
      <c r="D2" s="37"/>
      <c r="E2" s="37"/>
      <c r="F2" s="37"/>
      <c r="G2" s="6"/>
    </row>
    <row r="3" spans="1:7" ht="24.6">
      <c r="A3" s="21" t="s">
        <v>20</v>
      </c>
      <c r="B3" s="21" t="s">
        <v>21</v>
      </c>
      <c r="C3" s="21" t="s">
        <v>6</v>
      </c>
      <c r="D3" s="21" t="s">
        <v>14</v>
      </c>
      <c r="E3" s="21" t="s">
        <v>7</v>
      </c>
      <c r="F3" s="21" t="s">
        <v>4</v>
      </c>
    </row>
    <row r="4" spans="1:7" ht="49.2">
      <c r="A4" s="11"/>
      <c r="B4" s="11"/>
      <c r="C4" s="15" t="s">
        <v>78</v>
      </c>
      <c r="D4" s="13">
        <v>1128500</v>
      </c>
      <c r="E4" s="13"/>
      <c r="F4" s="13">
        <f>D4-E4</f>
        <v>1128500</v>
      </c>
    </row>
    <row r="5" spans="1:7" ht="96" hidden="1" customHeight="1">
      <c r="A5" s="14" t="s">
        <v>203</v>
      </c>
      <c r="B5" s="14" t="s">
        <v>196</v>
      </c>
      <c r="C5" s="15" t="s">
        <v>190</v>
      </c>
      <c r="D5" s="13"/>
      <c r="E5" s="13">
        <v>10400</v>
      </c>
      <c r="F5" s="13">
        <f>F4+D5-E5</f>
        <v>1118100</v>
      </c>
    </row>
    <row r="6" spans="1:7" ht="98.4" hidden="1">
      <c r="A6" s="14" t="s">
        <v>203</v>
      </c>
      <c r="B6" s="14" t="s">
        <v>197</v>
      </c>
      <c r="C6" s="15" t="s">
        <v>190</v>
      </c>
      <c r="D6" s="13"/>
      <c r="E6" s="13">
        <v>13000</v>
      </c>
      <c r="F6" s="13">
        <f t="shared" ref="F6:F37" si="0">F5+D6-E6</f>
        <v>1105100</v>
      </c>
    </row>
    <row r="7" spans="1:7" ht="98.4" hidden="1">
      <c r="A7" s="14" t="s">
        <v>203</v>
      </c>
      <c r="B7" s="14" t="s">
        <v>198</v>
      </c>
      <c r="C7" s="15" t="s">
        <v>191</v>
      </c>
      <c r="D7" s="13"/>
      <c r="E7" s="13">
        <v>5200</v>
      </c>
      <c r="F7" s="13">
        <f t="shared" si="0"/>
        <v>1099900</v>
      </c>
    </row>
    <row r="8" spans="1:7" ht="98.4" hidden="1">
      <c r="A8" s="14" t="s">
        <v>203</v>
      </c>
      <c r="B8" s="14" t="s">
        <v>199</v>
      </c>
      <c r="C8" s="15" t="s">
        <v>192</v>
      </c>
      <c r="D8" s="13"/>
      <c r="E8" s="13">
        <v>10400</v>
      </c>
      <c r="F8" s="13">
        <f t="shared" si="0"/>
        <v>1089500</v>
      </c>
    </row>
    <row r="9" spans="1:7" ht="98.4" hidden="1">
      <c r="A9" s="14" t="s">
        <v>203</v>
      </c>
      <c r="B9" s="14" t="s">
        <v>200</v>
      </c>
      <c r="C9" s="15" t="s">
        <v>193</v>
      </c>
      <c r="D9" s="13"/>
      <c r="E9" s="13">
        <v>10400</v>
      </c>
      <c r="F9" s="13">
        <f t="shared" si="0"/>
        <v>1079100</v>
      </c>
    </row>
    <row r="10" spans="1:7" ht="98.4" hidden="1">
      <c r="A10" s="14" t="s">
        <v>203</v>
      </c>
      <c r="B10" s="14" t="s">
        <v>201</v>
      </c>
      <c r="C10" s="15" t="s">
        <v>194</v>
      </c>
      <c r="D10" s="13"/>
      <c r="E10" s="13">
        <v>5200</v>
      </c>
      <c r="F10" s="13">
        <f t="shared" si="0"/>
        <v>1073900</v>
      </c>
    </row>
    <row r="11" spans="1:7" ht="98.4" hidden="1">
      <c r="A11" s="14" t="s">
        <v>203</v>
      </c>
      <c r="B11" s="14" t="s">
        <v>202</v>
      </c>
      <c r="C11" s="15" t="s">
        <v>195</v>
      </c>
      <c r="D11" s="13"/>
      <c r="E11" s="13">
        <v>10400</v>
      </c>
      <c r="F11" s="13">
        <f t="shared" si="0"/>
        <v>1063500</v>
      </c>
    </row>
    <row r="12" spans="1:7" ht="98.4" hidden="1">
      <c r="A12" s="14" t="s">
        <v>247</v>
      </c>
      <c r="B12" s="14" t="s">
        <v>245</v>
      </c>
      <c r="C12" s="15" t="s">
        <v>243</v>
      </c>
      <c r="D12" s="13"/>
      <c r="E12" s="13">
        <v>27000</v>
      </c>
      <c r="F12" s="13">
        <f t="shared" si="0"/>
        <v>1036500</v>
      </c>
    </row>
    <row r="13" spans="1:7" ht="98.4" hidden="1">
      <c r="A13" s="14" t="s">
        <v>247</v>
      </c>
      <c r="B13" s="14" t="s">
        <v>246</v>
      </c>
      <c r="C13" s="15" t="s">
        <v>244</v>
      </c>
      <c r="D13" s="13"/>
      <c r="E13" s="13">
        <v>36000</v>
      </c>
      <c r="F13" s="13">
        <f t="shared" si="0"/>
        <v>1000500</v>
      </c>
    </row>
    <row r="14" spans="1:7" ht="98.4" hidden="1">
      <c r="A14" s="14" t="s">
        <v>247</v>
      </c>
      <c r="B14" s="73" t="s">
        <v>261</v>
      </c>
      <c r="C14" s="70" t="s">
        <v>260</v>
      </c>
      <c r="D14" s="13"/>
      <c r="E14" s="74">
        <v>34000</v>
      </c>
      <c r="F14" s="13">
        <f t="shared" si="0"/>
        <v>966500</v>
      </c>
      <c r="G14" t="s">
        <v>270</v>
      </c>
    </row>
    <row r="15" spans="1:7" ht="98.4" hidden="1">
      <c r="A15" s="14" t="s">
        <v>247</v>
      </c>
      <c r="B15" s="73" t="s">
        <v>262</v>
      </c>
      <c r="C15" s="70" t="s">
        <v>260</v>
      </c>
      <c r="D15" s="13"/>
      <c r="E15" s="72">
        <v>34000</v>
      </c>
      <c r="F15" s="13">
        <f t="shared" si="0"/>
        <v>932500</v>
      </c>
    </row>
    <row r="16" spans="1:7" ht="98.4" hidden="1">
      <c r="A16" s="14" t="s">
        <v>247</v>
      </c>
      <c r="B16" s="73" t="s">
        <v>263</v>
      </c>
      <c r="C16" s="15" t="s">
        <v>260</v>
      </c>
      <c r="D16" s="13"/>
      <c r="E16" s="72">
        <v>27000</v>
      </c>
      <c r="F16" s="13">
        <f t="shared" si="0"/>
        <v>905500</v>
      </c>
    </row>
    <row r="17" spans="1:6" ht="98.4" hidden="1">
      <c r="A17" s="14" t="s">
        <v>354</v>
      </c>
      <c r="B17" s="14" t="s">
        <v>355</v>
      </c>
      <c r="C17" s="15" t="s">
        <v>353</v>
      </c>
      <c r="D17" s="13"/>
      <c r="E17" s="13">
        <v>4500</v>
      </c>
      <c r="F17" s="13">
        <f t="shared" si="0"/>
        <v>901000</v>
      </c>
    </row>
    <row r="18" spans="1:6" ht="98.4" hidden="1">
      <c r="A18" s="14" t="s">
        <v>354</v>
      </c>
      <c r="B18" s="14" t="s">
        <v>360</v>
      </c>
      <c r="C18" s="15" t="s">
        <v>356</v>
      </c>
      <c r="D18" s="13"/>
      <c r="E18" s="13">
        <v>3500</v>
      </c>
      <c r="F18" s="13">
        <f t="shared" si="0"/>
        <v>897500</v>
      </c>
    </row>
    <row r="19" spans="1:6" ht="98.4" hidden="1">
      <c r="A19" s="14" t="s">
        <v>354</v>
      </c>
      <c r="B19" s="14" t="s">
        <v>361</v>
      </c>
      <c r="C19" s="15" t="s">
        <v>357</v>
      </c>
      <c r="D19" s="13"/>
      <c r="E19" s="13">
        <v>4500</v>
      </c>
      <c r="F19" s="13">
        <f t="shared" si="0"/>
        <v>893000</v>
      </c>
    </row>
    <row r="20" spans="1:6" ht="98.4" hidden="1">
      <c r="A20" s="14" t="s">
        <v>354</v>
      </c>
      <c r="B20" s="14" t="s">
        <v>362</v>
      </c>
      <c r="C20" s="15" t="s">
        <v>358</v>
      </c>
      <c r="D20" s="13"/>
      <c r="E20" s="13">
        <v>9000</v>
      </c>
      <c r="F20" s="13">
        <f t="shared" si="0"/>
        <v>884000</v>
      </c>
    </row>
    <row r="21" spans="1:6" ht="98.4" hidden="1">
      <c r="A21" s="14" t="s">
        <v>354</v>
      </c>
      <c r="B21" s="14" t="s">
        <v>363</v>
      </c>
      <c r="C21" s="15" t="s">
        <v>359</v>
      </c>
      <c r="D21" s="13"/>
      <c r="E21" s="13">
        <v>3500</v>
      </c>
      <c r="F21" s="13">
        <f t="shared" si="0"/>
        <v>880500</v>
      </c>
    </row>
    <row r="22" spans="1:6" ht="98.4" hidden="1">
      <c r="A22" s="14" t="s">
        <v>456</v>
      </c>
      <c r="B22" s="14" t="s">
        <v>451</v>
      </c>
      <c r="C22" s="15" t="s">
        <v>446</v>
      </c>
      <c r="D22" s="13"/>
      <c r="E22" s="13">
        <v>9000</v>
      </c>
      <c r="F22" s="13">
        <f t="shared" si="0"/>
        <v>871500</v>
      </c>
    </row>
    <row r="23" spans="1:6" ht="98.4" hidden="1">
      <c r="A23" s="14" t="s">
        <v>456</v>
      </c>
      <c r="B23" s="14" t="s">
        <v>452</v>
      </c>
      <c r="C23" s="15" t="s">
        <v>447</v>
      </c>
      <c r="D23" s="13"/>
      <c r="E23" s="13">
        <v>9000</v>
      </c>
      <c r="F23" s="13">
        <f t="shared" si="0"/>
        <v>862500</v>
      </c>
    </row>
    <row r="24" spans="1:6" ht="98.4" hidden="1">
      <c r="A24" s="14" t="s">
        <v>456</v>
      </c>
      <c r="B24" s="14" t="s">
        <v>453</v>
      </c>
      <c r="C24" s="15" t="s">
        <v>448</v>
      </c>
      <c r="D24" s="13"/>
      <c r="E24" s="13">
        <v>18000</v>
      </c>
      <c r="F24" s="13">
        <f t="shared" si="0"/>
        <v>844500</v>
      </c>
    </row>
    <row r="25" spans="1:6" ht="98.4" hidden="1">
      <c r="A25" s="14" t="s">
        <v>456</v>
      </c>
      <c r="B25" s="14" t="s">
        <v>454</v>
      </c>
      <c r="C25" s="15" t="s">
        <v>449</v>
      </c>
      <c r="D25" s="13"/>
      <c r="E25" s="13">
        <v>36000</v>
      </c>
      <c r="F25" s="13">
        <f t="shared" si="0"/>
        <v>808500</v>
      </c>
    </row>
    <row r="26" spans="1:6" ht="98.4" hidden="1">
      <c r="A26" s="14" t="s">
        <v>456</v>
      </c>
      <c r="B26" s="14" t="s">
        <v>455</v>
      </c>
      <c r="C26" s="15" t="s">
        <v>450</v>
      </c>
      <c r="D26" s="13"/>
      <c r="E26" s="13">
        <v>40500</v>
      </c>
      <c r="F26" s="13">
        <f t="shared" si="0"/>
        <v>768000</v>
      </c>
    </row>
    <row r="27" spans="1:6" ht="98.4">
      <c r="A27" s="14" t="s">
        <v>504</v>
      </c>
      <c r="B27" s="14" t="s">
        <v>511</v>
      </c>
      <c r="C27" s="15" t="s">
        <v>520</v>
      </c>
      <c r="D27" s="13"/>
      <c r="E27" s="13">
        <v>3900</v>
      </c>
      <c r="F27" s="13">
        <f t="shared" si="0"/>
        <v>764100</v>
      </c>
    </row>
    <row r="28" spans="1:6" ht="98.4">
      <c r="A28" s="14" t="s">
        <v>504</v>
      </c>
      <c r="B28" s="14" t="s">
        <v>512</v>
      </c>
      <c r="C28" s="15" t="s">
        <v>521</v>
      </c>
      <c r="D28" s="13"/>
      <c r="E28" s="13">
        <v>3900</v>
      </c>
      <c r="F28" s="13">
        <f t="shared" si="0"/>
        <v>760200</v>
      </c>
    </row>
    <row r="29" spans="1:6" ht="98.4">
      <c r="A29" s="14" t="s">
        <v>504</v>
      </c>
      <c r="B29" s="14" t="s">
        <v>513</v>
      </c>
      <c r="C29" s="15" t="s">
        <v>522</v>
      </c>
      <c r="D29" s="13"/>
      <c r="E29" s="13">
        <v>19500</v>
      </c>
      <c r="F29" s="13">
        <f t="shared" si="0"/>
        <v>740700</v>
      </c>
    </row>
    <row r="30" spans="1:6" ht="98.4">
      <c r="A30" s="14" t="s">
        <v>504</v>
      </c>
      <c r="B30" s="14" t="s">
        <v>514</v>
      </c>
      <c r="C30" s="15" t="s">
        <v>523</v>
      </c>
      <c r="D30" s="13"/>
      <c r="E30" s="13">
        <v>11700</v>
      </c>
      <c r="F30" s="13">
        <f t="shared" si="0"/>
        <v>729000</v>
      </c>
    </row>
    <row r="31" spans="1:6" ht="98.4">
      <c r="A31" s="14" t="s">
        <v>504</v>
      </c>
      <c r="B31" s="14" t="s">
        <v>515</v>
      </c>
      <c r="C31" s="15" t="s">
        <v>524</v>
      </c>
      <c r="D31" s="13"/>
      <c r="E31" s="13">
        <v>19500</v>
      </c>
      <c r="F31" s="13">
        <f t="shared" si="0"/>
        <v>709500</v>
      </c>
    </row>
    <row r="32" spans="1:6" ht="98.4">
      <c r="A32" s="14" t="s">
        <v>504</v>
      </c>
      <c r="B32" s="14" t="s">
        <v>516</v>
      </c>
      <c r="C32" s="15" t="s">
        <v>525</v>
      </c>
      <c r="D32" s="13"/>
      <c r="E32" s="13">
        <v>11700</v>
      </c>
      <c r="F32" s="13">
        <f t="shared" si="0"/>
        <v>697800</v>
      </c>
    </row>
    <row r="33" spans="1:6" ht="98.4">
      <c r="A33" s="14" t="s">
        <v>504</v>
      </c>
      <c r="B33" s="14" t="s">
        <v>517</v>
      </c>
      <c r="C33" s="15" t="s">
        <v>526</v>
      </c>
      <c r="D33" s="13"/>
      <c r="E33" s="13">
        <v>7800</v>
      </c>
      <c r="F33" s="13">
        <f t="shared" si="0"/>
        <v>690000</v>
      </c>
    </row>
    <row r="34" spans="1:6" ht="98.4">
      <c r="A34" s="14" t="s">
        <v>504</v>
      </c>
      <c r="B34" s="14" t="s">
        <v>518</v>
      </c>
      <c r="C34" s="15" t="s">
        <v>527</v>
      </c>
      <c r="D34" s="13"/>
      <c r="E34" s="13">
        <v>11700</v>
      </c>
      <c r="F34" s="13">
        <f t="shared" si="0"/>
        <v>678300</v>
      </c>
    </row>
    <row r="35" spans="1:6" ht="98.4">
      <c r="A35" s="14" t="s">
        <v>504</v>
      </c>
      <c r="B35" s="14" t="s">
        <v>519</v>
      </c>
      <c r="C35" s="15" t="s">
        <v>528</v>
      </c>
      <c r="D35" s="13"/>
      <c r="E35" s="13">
        <v>7800</v>
      </c>
      <c r="F35" s="13">
        <f t="shared" si="0"/>
        <v>670500</v>
      </c>
    </row>
    <row r="36" spans="1:6" ht="98.4">
      <c r="A36" s="14" t="s">
        <v>562</v>
      </c>
      <c r="B36" s="14" t="s">
        <v>563</v>
      </c>
      <c r="C36" s="15" t="s">
        <v>560</v>
      </c>
      <c r="D36" s="13"/>
      <c r="E36" s="13">
        <v>3900</v>
      </c>
      <c r="F36" s="13">
        <f t="shared" si="0"/>
        <v>666600</v>
      </c>
    </row>
    <row r="37" spans="1:6" ht="98.4">
      <c r="A37" s="14" t="s">
        <v>562</v>
      </c>
      <c r="B37" s="14" t="s">
        <v>564</v>
      </c>
      <c r="C37" s="15" t="s">
        <v>561</v>
      </c>
      <c r="D37" s="13"/>
      <c r="E37" s="13">
        <v>5000</v>
      </c>
      <c r="F37" s="13">
        <f t="shared" si="0"/>
        <v>661600</v>
      </c>
    </row>
    <row r="38" spans="1:6" ht="24.6">
      <c r="A38" s="126" t="s">
        <v>5</v>
      </c>
      <c r="B38" s="127"/>
      <c r="C38" s="128"/>
      <c r="D38" s="38">
        <f>SUM(D4:D9)</f>
        <v>1128500</v>
      </c>
      <c r="E38" s="38">
        <f>SUM(E5:E35)</f>
        <v>458000</v>
      </c>
      <c r="F38" s="38">
        <f>D38-E38</f>
        <v>670500</v>
      </c>
    </row>
    <row r="39" spans="1:6" ht="24.6">
      <c r="A39" s="20"/>
      <c r="B39" s="20"/>
      <c r="C39" s="20"/>
      <c r="D39" s="20"/>
      <c r="E39" s="20"/>
      <c r="F39" s="20"/>
    </row>
    <row r="40" spans="1:6" ht="24.6">
      <c r="A40" s="20"/>
      <c r="B40" s="20"/>
      <c r="C40" s="20" t="s">
        <v>35</v>
      </c>
      <c r="D40" s="20"/>
      <c r="E40" s="20" t="s">
        <v>530</v>
      </c>
      <c r="F40" s="20" t="s">
        <v>4</v>
      </c>
    </row>
    <row r="41" spans="1:6" ht="24.6">
      <c r="A41" s="20"/>
      <c r="B41" s="20"/>
      <c r="C41" s="20" t="s">
        <v>529</v>
      </c>
      <c r="D41" s="20"/>
      <c r="E41" s="20">
        <v>374500</v>
      </c>
      <c r="F41" s="60">
        <f>F38-E41</f>
        <v>296000</v>
      </c>
    </row>
    <row r="42" spans="1:6" ht="24.6">
      <c r="A42" s="20"/>
      <c r="B42" s="20"/>
      <c r="C42" s="20"/>
      <c r="D42" s="20"/>
      <c r="E42" s="20"/>
      <c r="F42" s="20"/>
    </row>
    <row r="43" spans="1:6" ht="24.6">
      <c r="A43" s="20"/>
      <c r="B43" s="20"/>
      <c r="C43" s="20" t="s">
        <v>15</v>
      </c>
      <c r="D43" s="20"/>
      <c r="E43" s="20"/>
      <c r="F43" s="20"/>
    </row>
    <row r="44" spans="1:6" ht="24.6">
      <c r="A44" s="20"/>
      <c r="B44" s="20"/>
      <c r="C44" s="20"/>
      <c r="D44" s="20"/>
      <c r="E44" s="20"/>
      <c r="F44" s="20"/>
    </row>
    <row r="45" spans="1:6" ht="24.6">
      <c r="A45" s="1"/>
      <c r="B45" s="1"/>
      <c r="C45" s="1"/>
      <c r="D45" s="1"/>
      <c r="E45" s="1"/>
      <c r="F45" s="1"/>
    </row>
    <row r="46" spans="1:6" ht="24.6">
      <c r="A46" s="1"/>
      <c r="B46" s="1"/>
      <c r="C46" s="1"/>
      <c r="D46" s="1"/>
      <c r="E46" s="1"/>
      <c r="F46" s="1"/>
    </row>
    <row r="47" spans="1:6" ht="24.6">
      <c r="A47" s="1"/>
      <c r="B47" s="1"/>
      <c r="C47" s="1"/>
      <c r="D47" s="1"/>
      <c r="E47" s="1"/>
      <c r="F47" s="1"/>
    </row>
    <row r="48" spans="1:6" ht="24.6">
      <c r="A48" s="1"/>
      <c r="B48" s="1"/>
      <c r="C48" s="1"/>
      <c r="D48" s="1"/>
      <c r="E48" s="1"/>
      <c r="F48" s="1"/>
    </row>
    <row r="49" spans="1:6" ht="24.6">
      <c r="A49" s="1"/>
      <c r="B49" s="1"/>
      <c r="C49" s="1"/>
      <c r="D49" s="1"/>
      <c r="E49" s="1"/>
      <c r="F49" s="1"/>
    </row>
    <row r="50" spans="1:6" ht="24.6">
      <c r="A50" s="1"/>
      <c r="B50" s="1"/>
      <c r="C50" s="1"/>
      <c r="D50" s="1"/>
      <c r="E50" s="1"/>
      <c r="F50" s="1"/>
    </row>
    <row r="51" spans="1:6" ht="24.6">
      <c r="A51" s="1"/>
      <c r="B51" s="1"/>
      <c r="C51" s="1"/>
      <c r="D51" s="1"/>
      <c r="E51" s="1"/>
      <c r="F51" s="1"/>
    </row>
    <row r="52" spans="1:6" ht="24.6">
      <c r="A52" s="1"/>
      <c r="B52" s="1"/>
      <c r="C52" s="1"/>
      <c r="D52" s="1"/>
      <c r="E52" s="1"/>
      <c r="F52" s="1"/>
    </row>
    <row r="53" spans="1:6" ht="24.6">
      <c r="A53" s="1"/>
      <c r="B53" s="1"/>
      <c r="C53" s="1"/>
      <c r="D53" s="1"/>
      <c r="E53" s="1"/>
      <c r="F53" s="1"/>
    </row>
    <row r="54" spans="1:6" ht="24.6">
      <c r="A54" s="1"/>
      <c r="B54" s="1"/>
      <c r="C54" s="1"/>
      <c r="D54" s="1"/>
      <c r="E54" s="1"/>
      <c r="F54" s="1"/>
    </row>
    <row r="55" spans="1:6" ht="24.6">
      <c r="A55" s="1"/>
      <c r="B55" s="1"/>
      <c r="C55" s="1"/>
      <c r="D55" s="1"/>
      <c r="E55" s="1"/>
      <c r="F55" s="1"/>
    </row>
    <row r="56" spans="1:6" ht="24.6">
      <c r="A56" s="1"/>
      <c r="B56" s="1"/>
      <c r="C56" s="1"/>
      <c r="D56" s="1"/>
      <c r="E56" s="1"/>
      <c r="F56" s="1"/>
    </row>
    <row r="57" spans="1:6" ht="24.6">
      <c r="A57" s="1"/>
      <c r="B57" s="1"/>
      <c r="C57" s="1"/>
      <c r="D57" s="1"/>
      <c r="E57" s="1"/>
      <c r="F57" s="1"/>
    </row>
    <row r="58" spans="1:6" ht="24.6">
      <c r="A58" s="1"/>
      <c r="B58" s="1"/>
      <c r="C58" s="1"/>
      <c r="D58" s="1"/>
      <c r="E58" s="1"/>
      <c r="F58" s="1"/>
    </row>
    <row r="59" spans="1:6" ht="24.6">
      <c r="A59" s="1"/>
      <c r="B59" s="1"/>
      <c r="C59" s="1"/>
      <c r="D59" s="1"/>
      <c r="E59" s="1"/>
      <c r="F59" s="1"/>
    </row>
    <row r="60" spans="1:6" ht="24.6">
      <c r="A60" s="1"/>
      <c r="B60" s="1"/>
      <c r="C60" s="1"/>
      <c r="D60" s="1"/>
      <c r="E60" s="1"/>
      <c r="F60" s="1"/>
    </row>
    <row r="61" spans="1:6" ht="24.6">
      <c r="A61" s="1"/>
      <c r="B61" s="1"/>
      <c r="C61" s="1"/>
      <c r="D61" s="1"/>
      <c r="E61" s="1"/>
      <c r="F61" s="1"/>
    </row>
    <row r="62" spans="1:6" ht="24.6">
      <c r="A62" s="1"/>
      <c r="B62" s="1"/>
      <c r="C62" s="1"/>
      <c r="D62" s="1"/>
      <c r="E62" s="1"/>
      <c r="F62" s="1"/>
    </row>
    <row r="63" spans="1:6" ht="24.6">
      <c r="A63" s="1"/>
      <c r="B63" s="1"/>
      <c r="C63" s="1"/>
      <c r="D63" s="1"/>
      <c r="E63" s="1"/>
      <c r="F63" s="1"/>
    </row>
    <row r="64" spans="1:6" ht="24.6">
      <c r="A64" s="1"/>
      <c r="B64" s="1"/>
      <c r="C64" s="1"/>
      <c r="D64" s="1"/>
      <c r="E64" s="1"/>
      <c r="F64" s="1"/>
    </row>
    <row r="65" spans="1:6" ht="24.6">
      <c r="A65" s="1"/>
      <c r="B65" s="1"/>
      <c r="C65" s="1"/>
      <c r="D65" s="1"/>
      <c r="E65" s="1"/>
      <c r="F65" s="1"/>
    </row>
    <row r="66" spans="1:6" ht="24.6">
      <c r="A66" s="1"/>
      <c r="B66" s="1"/>
      <c r="C66" s="1"/>
      <c r="D66" s="1"/>
      <c r="E66" s="1"/>
      <c r="F66" s="1"/>
    </row>
    <row r="67" spans="1:6" ht="24.6">
      <c r="A67" s="1"/>
      <c r="B67" s="1"/>
      <c r="C67" s="1"/>
      <c r="D67" s="1"/>
      <c r="E67" s="1"/>
      <c r="F67" s="1"/>
    </row>
    <row r="68" spans="1:6" ht="24.6">
      <c r="A68" s="1"/>
      <c r="B68" s="1"/>
      <c r="C68" s="1"/>
      <c r="D68" s="1"/>
      <c r="E68" s="1"/>
      <c r="F68" s="1"/>
    </row>
    <row r="69" spans="1:6" ht="24.6">
      <c r="A69" s="1"/>
      <c r="B69" s="1"/>
      <c r="C69" s="1"/>
      <c r="D69" s="1"/>
      <c r="E69" s="1"/>
      <c r="F69" s="1"/>
    </row>
    <row r="70" spans="1:6" ht="24.6">
      <c r="A70" s="1"/>
      <c r="B70" s="1"/>
      <c r="C70" s="1"/>
      <c r="D70" s="1"/>
      <c r="E70" s="1"/>
      <c r="F70" s="1"/>
    </row>
    <row r="71" spans="1:6" ht="24.6">
      <c r="A71" s="1"/>
      <c r="B71" s="1"/>
      <c r="C71" s="1"/>
      <c r="D71" s="1"/>
      <c r="E71" s="1"/>
      <c r="F71" s="1"/>
    </row>
    <row r="72" spans="1:6" ht="24.6">
      <c r="A72" s="1"/>
      <c r="B72" s="1"/>
      <c r="C72" s="1"/>
      <c r="D72" s="1"/>
      <c r="E72" s="1"/>
      <c r="F72" s="1"/>
    </row>
    <row r="73" spans="1:6" ht="24.6">
      <c r="A73" s="1"/>
      <c r="B73" s="1"/>
      <c r="C73" s="1"/>
      <c r="D73" s="1"/>
      <c r="E73" s="1"/>
      <c r="F73" s="1"/>
    </row>
    <row r="74" spans="1:6" ht="24.6">
      <c r="A74" s="1"/>
      <c r="B74" s="1"/>
      <c r="C74" s="1"/>
      <c r="D74" s="1"/>
      <c r="E74" s="1"/>
      <c r="F74" s="1"/>
    </row>
    <row r="75" spans="1:6" ht="24.6">
      <c r="A75" s="1"/>
      <c r="B75" s="1"/>
      <c r="C75" s="1"/>
      <c r="D75" s="1"/>
      <c r="E75" s="1"/>
      <c r="F75" s="1"/>
    </row>
    <row r="76" spans="1:6" ht="24.6">
      <c r="A76" s="1"/>
      <c r="B76" s="1"/>
      <c r="C76" s="1"/>
      <c r="D76" s="1"/>
      <c r="E76" s="1"/>
      <c r="F76" s="1"/>
    </row>
    <row r="77" spans="1:6" ht="24.6">
      <c r="A77" s="1"/>
      <c r="B77" s="1"/>
      <c r="C77" s="1"/>
      <c r="D77" s="1"/>
      <c r="E77" s="1"/>
      <c r="F77" s="1"/>
    </row>
  </sheetData>
  <mergeCells count="2">
    <mergeCell ref="A1:F1"/>
    <mergeCell ref="A38:C38"/>
  </mergeCells>
  <hyperlinks>
    <hyperlink ref="G1" location="'6.จัดการเรียนการสอนบัณฑิต'!A1" display="โครงการจัดการเรียนการสอน"/>
  </hyperlinks>
  <pageMargins left="3.937007874015748E-2" right="3.937007874015748E-2" top="0.74803149606299213" bottom="0.74803149606299213" header="0.31496062992125984" footer="0.31496062992125984"/>
  <pageSetup paperSize="9" orientation="landscape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workbookViewId="0">
      <selection activeCell="G1" sqref="G1"/>
    </sheetView>
  </sheetViews>
  <sheetFormatPr defaultRowHeight="14.4"/>
  <cols>
    <col min="1" max="1" width="13.44140625" customWidth="1"/>
    <col min="2" max="2" width="15.88671875" customWidth="1"/>
    <col min="3" max="3" width="70.33203125" customWidth="1"/>
    <col min="4" max="4" width="12.88671875" customWidth="1"/>
    <col min="5" max="5" width="13.88671875" customWidth="1"/>
    <col min="6" max="6" width="12.77734375" customWidth="1"/>
  </cols>
  <sheetData>
    <row r="1" spans="1:8" ht="24" customHeight="1">
      <c r="A1" s="134" t="s">
        <v>81</v>
      </c>
      <c r="B1" s="135"/>
      <c r="C1" s="135"/>
      <c r="D1" s="135"/>
      <c r="E1" s="135"/>
      <c r="F1" s="135"/>
      <c r="G1" s="6" t="s">
        <v>28</v>
      </c>
      <c r="H1" s="10"/>
    </row>
    <row r="2" spans="1:8" ht="24" customHeight="1">
      <c r="A2" s="59"/>
      <c r="B2" s="59"/>
      <c r="C2" s="59" t="s">
        <v>79</v>
      </c>
      <c r="D2" s="59"/>
      <c r="E2" s="59"/>
      <c r="F2" s="59"/>
      <c r="G2" s="6"/>
    </row>
    <row r="3" spans="1:8" ht="24.6">
      <c r="A3" s="21" t="s">
        <v>20</v>
      </c>
      <c r="B3" s="21" t="s">
        <v>21</v>
      </c>
      <c r="C3" s="21" t="s">
        <v>6</v>
      </c>
      <c r="D3" s="21" t="s">
        <v>14</v>
      </c>
      <c r="E3" s="21" t="s">
        <v>7</v>
      </c>
      <c r="F3" s="21" t="s">
        <v>4</v>
      </c>
    </row>
    <row r="4" spans="1:8" ht="48" customHeight="1">
      <c r="A4" s="11"/>
      <c r="B4" s="11"/>
      <c r="C4" s="35" t="s">
        <v>81</v>
      </c>
      <c r="D4" s="13">
        <v>743000</v>
      </c>
      <c r="E4" s="13"/>
      <c r="F4" s="13">
        <f>D4-E4</f>
        <v>743000</v>
      </c>
    </row>
    <row r="5" spans="1:8" ht="96" customHeight="1">
      <c r="A5" s="14" t="s">
        <v>172</v>
      </c>
      <c r="B5" s="14" t="s">
        <v>163</v>
      </c>
      <c r="C5" s="15" t="s">
        <v>171</v>
      </c>
      <c r="D5" s="13"/>
      <c r="E5" s="13">
        <v>15000</v>
      </c>
      <c r="F5" s="13">
        <f>F4+D5-E5</f>
        <v>728000</v>
      </c>
    </row>
    <row r="6" spans="1:8" ht="98.4">
      <c r="A6" s="14" t="s">
        <v>250</v>
      </c>
      <c r="B6" s="14" t="s">
        <v>247</v>
      </c>
      <c r="C6" s="15" t="s">
        <v>248</v>
      </c>
      <c r="D6" s="13"/>
      <c r="E6" s="72">
        <v>27000</v>
      </c>
      <c r="F6" s="13">
        <f t="shared" ref="F6:F16" si="0">F5+D6-E6</f>
        <v>701000</v>
      </c>
    </row>
    <row r="7" spans="1:8" ht="98.4">
      <c r="A7" s="14" t="s">
        <v>251</v>
      </c>
      <c r="B7" s="14" t="s">
        <v>247</v>
      </c>
      <c r="C7" s="15" t="s">
        <v>249</v>
      </c>
      <c r="D7" s="13"/>
      <c r="E7" s="74">
        <v>25500</v>
      </c>
      <c r="F7" s="13">
        <f t="shared" si="0"/>
        <v>675500</v>
      </c>
      <c r="G7" t="s">
        <v>268</v>
      </c>
    </row>
    <row r="8" spans="1:8" ht="98.4">
      <c r="A8" s="14" t="s">
        <v>252</v>
      </c>
      <c r="B8" s="14" t="s">
        <v>247</v>
      </c>
      <c r="C8" s="15" t="s">
        <v>249</v>
      </c>
      <c r="D8" s="13"/>
      <c r="E8" s="72">
        <v>27000</v>
      </c>
      <c r="F8" s="13">
        <f t="shared" si="0"/>
        <v>648500</v>
      </c>
    </row>
    <row r="9" spans="1:8" ht="98.4">
      <c r="A9" s="14" t="s">
        <v>291</v>
      </c>
      <c r="B9" s="14" t="s">
        <v>292</v>
      </c>
      <c r="C9" s="15" t="s">
        <v>290</v>
      </c>
      <c r="D9" s="13"/>
      <c r="E9" s="13">
        <v>25500</v>
      </c>
      <c r="F9" s="13">
        <f t="shared" si="0"/>
        <v>623000</v>
      </c>
    </row>
    <row r="10" spans="1:8" ht="98.4">
      <c r="A10" s="14" t="s">
        <v>368</v>
      </c>
      <c r="B10" s="14" t="s">
        <v>354</v>
      </c>
      <c r="C10" s="35" t="s">
        <v>364</v>
      </c>
      <c r="D10" s="13"/>
      <c r="E10" s="13">
        <v>4500</v>
      </c>
      <c r="F10" s="13">
        <f t="shared" si="0"/>
        <v>618500</v>
      </c>
    </row>
    <row r="11" spans="1:8" ht="98.4">
      <c r="A11" s="14" t="s">
        <v>369</v>
      </c>
      <c r="B11" s="14" t="s">
        <v>354</v>
      </c>
      <c r="C11" s="15" t="s">
        <v>365</v>
      </c>
      <c r="D11" s="13"/>
      <c r="E11" s="13">
        <v>5000</v>
      </c>
      <c r="F11" s="13">
        <f t="shared" si="0"/>
        <v>613500</v>
      </c>
    </row>
    <row r="12" spans="1:8" ht="98.4">
      <c r="A12" s="14" t="s">
        <v>370</v>
      </c>
      <c r="B12" s="14" t="s">
        <v>354</v>
      </c>
      <c r="C12" s="15" t="s">
        <v>366</v>
      </c>
      <c r="D12" s="13"/>
      <c r="E12" s="13">
        <v>24750</v>
      </c>
      <c r="F12" s="13">
        <f t="shared" si="0"/>
        <v>588750</v>
      </c>
    </row>
    <row r="13" spans="1:8" ht="98.4">
      <c r="A13" s="14" t="s">
        <v>371</v>
      </c>
      <c r="B13" s="14" t="s">
        <v>354</v>
      </c>
      <c r="C13" s="15" t="s">
        <v>367</v>
      </c>
      <c r="D13" s="13"/>
      <c r="E13" s="13">
        <v>24750</v>
      </c>
      <c r="F13" s="13">
        <f t="shared" si="0"/>
        <v>564000</v>
      </c>
    </row>
    <row r="14" spans="1:8" ht="98.4">
      <c r="A14" s="14" t="s">
        <v>537</v>
      </c>
      <c r="B14" s="14" t="s">
        <v>539</v>
      </c>
      <c r="C14" s="15" t="s">
        <v>535</v>
      </c>
      <c r="D14" s="13"/>
      <c r="E14" s="13">
        <v>4500</v>
      </c>
      <c r="F14" s="13">
        <f t="shared" si="0"/>
        <v>559500</v>
      </c>
    </row>
    <row r="15" spans="1:8" ht="98.4">
      <c r="A15" s="14" t="s">
        <v>538</v>
      </c>
      <c r="B15" s="14" t="s">
        <v>539</v>
      </c>
      <c r="C15" s="15" t="s">
        <v>536</v>
      </c>
      <c r="D15" s="13"/>
      <c r="E15" s="13">
        <v>40500</v>
      </c>
      <c r="F15" s="13">
        <f t="shared" si="0"/>
        <v>519000</v>
      </c>
    </row>
    <row r="16" spans="1:8" ht="98.4">
      <c r="A16" s="68" t="s">
        <v>567</v>
      </c>
      <c r="B16" s="69" t="s">
        <v>566</v>
      </c>
      <c r="C16" s="70" t="s">
        <v>565</v>
      </c>
      <c r="D16" s="13"/>
      <c r="E16" s="13">
        <v>36000</v>
      </c>
      <c r="F16" s="13">
        <f t="shared" si="0"/>
        <v>483000</v>
      </c>
    </row>
    <row r="17" spans="1:6" ht="24.6">
      <c r="A17" s="126" t="s">
        <v>5</v>
      </c>
      <c r="B17" s="127"/>
      <c r="C17" s="128"/>
      <c r="D17" s="38">
        <f>SUM(D4:D10)</f>
        <v>743000</v>
      </c>
      <c r="E17" s="38">
        <f>SUM(E4:E16)</f>
        <v>260000</v>
      </c>
      <c r="F17" s="38">
        <f>D17-E17</f>
        <v>483000</v>
      </c>
    </row>
    <row r="18" spans="1:6" ht="24.6">
      <c r="A18" s="20"/>
      <c r="B18" s="20"/>
      <c r="C18" s="20"/>
      <c r="D18" s="20"/>
      <c r="E18" s="20"/>
      <c r="F18" s="20"/>
    </row>
    <row r="19" spans="1:6" ht="24.6">
      <c r="A19" s="20"/>
      <c r="B19" s="20"/>
      <c r="C19" s="20" t="s">
        <v>35</v>
      </c>
      <c r="D19" s="20"/>
      <c r="E19" s="20"/>
      <c r="F19" s="20"/>
    </row>
    <row r="20" spans="1:6" ht="24.6">
      <c r="A20" s="20"/>
      <c r="B20" s="20"/>
      <c r="C20" s="20" t="s">
        <v>531</v>
      </c>
      <c r="D20" s="20"/>
      <c r="E20" s="20"/>
      <c r="F20" s="20"/>
    </row>
    <row r="21" spans="1:6" ht="24.6">
      <c r="A21" s="20"/>
      <c r="B21" s="20"/>
      <c r="C21" s="20"/>
      <c r="D21" s="20"/>
      <c r="E21" s="20"/>
      <c r="F21" s="20"/>
    </row>
    <row r="22" spans="1:6" ht="24.6">
      <c r="A22" s="1"/>
      <c r="B22" s="1"/>
      <c r="C22" s="1" t="s">
        <v>15</v>
      </c>
      <c r="D22" s="1"/>
      <c r="E22" s="1"/>
      <c r="F22" s="1"/>
    </row>
    <row r="23" spans="1:6" ht="24.6">
      <c r="A23" s="1"/>
      <c r="B23" s="1"/>
      <c r="C23" s="1"/>
      <c r="D23" s="1"/>
      <c r="E23" s="1"/>
      <c r="F23" s="1"/>
    </row>
    <row r="24" spans="1:6" ht="24.6">
      <c r="A24" s="1"/>
      <c r="B24" s="1"/>
      <c r="C24" s="1"/>
      <c r="D24" s="1"/>
      <c r="E24" s="1"/>
      <c r="F24" s="1"/>
    </row>
    <row r="25" spans="1:6" ht="24.6">
      <c r="A25" s="1"/>
      <c r="B25" s="1"/>
      <c r="C25" s="1"/>
      <c r="D25" s="1"/>
      <c r="E25" s="1"/>
      <c r="F25" s="1"/>
    </row>
    <row r="26" spans="1:6" ht="24.6">
      <c r="A26" s="1"/>
      <c r="B26" s="1"/>
      <c r="C26" s="1"/>
      <c r="D26" s="1"/>
      <c r="E26" s="1"/>
      <c r="F26" s="1"/>
    </row>
    <row r="27" spans="1:6" ht="24.6">
      <c r="A27" s="1"/>
      <c r="B27" s="1"/>
      <c r="C27" s="1"/>
      <c r="D27" s="1"/>
      <c r="E27" s="1"/>
      <c r="F27" s="1"/>
    </row>
    <row r="28" spans="1:6" ht="24.6">
      <c r="A28" s="1"/>
      <c r="B28" s="1"/>
      <c r="C28" s="1"/>
      <c r="D28" s="1"/>
      <c r="E28" s="1"/>
      <c r="F28" s="1"/>
    </row>
    <row r="29" spans="1:6" ht="24.6">
      <c r="A29" s="1"/>
      <c r="B29" s="1"/>
      <c r="C29" s="1"/>
      <c r="D29" s="1"/>
      <c r="E29" s="1"/>
      <c r="F29" s="1"/>
    </row>
    <row r="30" spans="1:6" ht="24.6">
      <c r="A30" s="1"/>
      <c r="B30" s="1"/>
      <c r="C30" s="1"/>
      <c r="D30" s="1"/>
      <c r="E30" s="1"/>
      <c r="F30" s="1"/>
    </row>
    <row r="31" spans="1:6" ht="24.6">
      <c r="A31" s="1"/>
      <c r="B31" s="1"/>
      <c r="C31" s="1"/>
      <c r="D31" s="1"/>
      <c r="E31" s="1"/>
      <c r="F31" s="1"/>
    </row>
    <row r="32" spans="1:6" ht="24.6">
      <c r="A32" s="1"/>
      <c r="B32" s="1"/>
      <c r="C32" s="1"/>
      <c r="D32" s="1"/>
      <c r="E32" s="1"/>
      <c r="F32" s="1"/>
    </row>
    <row r="33" spans="1:6" ht="24.6">
      <c r="A33" s="1"/>
      <c r="B33" s="1"/>
      <c r="C33" s="1"/>
      <c r="D33" s="1"/>
      <c r="E33" s="1"/>
      <c r="F33" s="1"/>
    </row>
    <row r="34" spans="1:6" ht="24.6">
      <c r="A34" s="1"/>
      <c r="B34" s="1"/>
      <c r="C34" s="1"/>
      <c r="D34" s="1"/>
      <c r="E34" s="1"/>
      <c r="F34" s="1"/>
    </row>
    <row r="35" spans="1:6" ht="24.6">
      <c r="A35" s="1"/>
      <c r="B35" s="1"/>
      <c r="C35" s="1"/>
      <c r="D35" s="1"/>
      <c r="E35" s="1"/>
      <c r="F35" s="1"/>
    </row>
    <row r="36" spans="1:6" ht="24.6">
      <c r="A36" s="1"/>
      <c r="B36" s="1"/>
      <c r="C36" s="1"/>
      <c r="D36" s="1"/>
      <c r="E36" s="1"/>
      <c r="F36" s="1"/>
    </row>
    <row r="37" spans="1:6" ht="24.6">
      <c r="A37" s="1"/>
      <c r="B37" s="1"/>
      <c r="C37" s="1"/>
      <c r="D37" s="1"/>
      <c r="E37" s="1"/>
      <c r="F37" s="1"/>
    </row>
    <row r="38" spans="1:6" ht="24.6">
      <c r="A38" s="1"/>
      <c r="B38" s="1"/>
      <c r="C38" s="1"/>
      <c r="D38" s="1"/>
      <c r="E38" s="1"/>
      <c r="F38" s="1"/>
    </row>
    <row r="39" spans="1:6" ht="24.6">
      <c r="A39" s="1"/>
      <c r="B39" s="1"/>
      <c r="C39" s="1"/>
      <c r="D39" s="1"/>
      <c r="E39" s="1"/>
      <c r="F39" s="1"/>
    </row>
    <row r="40" spans="1:6" ht="24.6">
      <c r="A40" s="1"/>
      <c r="B40" s="1"/>
      <c r="C40" s="1"/>
      <c r="D40" s="1"/>
      <c r="E40" s="1"/>
      <c r="F40" s="1"/>
    </row>
    <row r="41" spans="1:6" ht="24.6">
      <c r="A41" s="1"/>
      <c r="B41" s="1"/>
      <c r="C41" s="1"/>
      <c r="D41" s="1"/>
      <c r="E41" s="1"/>
      <c r="F41" s="1"/>
    </row>
    <row r="42" spans="1:6" ht="24.6">
      <c r="A42" s="1"/>
      <c r="B42" s="1"/>
      <c r="C42" s="1"/>
      <c r="D42" s="1"/>
      <c r="E42" s="1"/>
      <c r="F42" s="1"/>
    </row>
    <row r="43" spans="1:6" ht="24.6">
      <c r="A43" s="1"/>
      <c r="B43" s="1"/>
      <c r="C43" s="1"/>
      <c r="D43" s="1"/>
      <c r="E43" s="1"/>
      <c r="F43" s="1"/>
    </row>
    <row r="44" spans="1:6" ht="24.6">
      <c r="A44" s="1"/>
      <c r="B44" s="1"/>
      <c r="C44" s="1"/>
      <c r="D44" s="1"/>
      <c r="E44" s="1"/>
      <c r="F44" s="1"/>
    </row>
    <row r="45" spans="1:6" ht="24.6">
      <c r="A45" s="1"/>
      <c r="B45" s="1"/>
      <c r="C45" s="1"/>
      <c r="D45" s="1"/>
      <c r="E45" s="1"/>
      <c r="F45" s="1"/>
    </row>
    <row r="46" spans="1:6" ht="24.6">
      <c r="A46" s="1"/>
      <c r="B46" s="1"/>
      <c r="C46" s="1"/>
      <c r="D46" s="1"/>
      <c r="E46" s="1"/>
      <c r="F46" s="1"/>
    </row>
    <row r="47" spans="1:6" ht="24.6">
      <c r="A47" s="1"/>
      <c r="B47" s="1"/>
      <c r="C47" s="1"/>
      <c r="D47" s="1"/>
      <c r="E47" s="1"/>
      <c r="F47" s="1"/>
    </row>
    <row r="48" spans="1:6" ht="24.6">
      <c r="A48" s="1"/>
      <c r="B48" s="1"/>
      <c r="C48" s="1"/>
      <c r="D48" s="1"/>
      <c r="E48" s="1"/>
      <c r="F48" s="1"/>
    </row>
    <row r="49" spans="1:6" ht="24.6">
      <c r="A49" s="1"/>
      <c r="B49" s="1"/>
      <c r="C49" s="1"/>
      <c r="D49" s="1"/>
      <c r="E49" s="1"/>
      <c r="F49" s="1"/>
    </row>
    <row r="50" spans="1:6" ht="24.6">
      <c r="A50" s="1"/>
      <c r="B50" s="1"/>
      <c r="C50" s="1"/>
      <c r="D50" s="1"/>
      <c r="E50" s="1"/>
      <c r="F50" s="1"/>
    </row>
    <row r="51" spans="1:6" ht="24.6">
      <c r="A51" s="1"/>
      <c r="B51" s="1"/>
      <c r="C51" s="1"/>
      <c r="D51" s="1"/>
      <c r="E51" s="1"/>
      <c r="F51" s="1"/>
    </row>
    <row r="52" spans="1:6" ht="24.6">
      <c r="A52" s="1"/>
      <c r="B52" s="1"/>
      <c r="C52" s="1"/>
      <c r="D52" s="1"/>
      <c r="E52" s="1"/>
      <c r="F52" s="1"/>
    </row>
    <row r="53" spans="1:6" ht="24.6">
      <c r="A53" s="1"/>
      <c r="B53" s="1"/>
      <c r="C53" s="1"/>
      <c r="D53" s="1"/>
      <c r="E53" s="1"/>
      <c r="F53" s="1"/>
    </row>
    <row r="54" spans="1:6" ht="24.6">
      <c r="A54" s="1"/>
      <c r="B54" s="1"/>
      <c r="C54" s="1"/>
      <c r="D54" s="1"/>
      <c r="E54" s="1"/>
      <c r="F54" s="1"/>
    </row>
    <row r="55" spans="1:6" ht="24.6">
      <c r="A55" s="1"/>
      <c r="B55" s="1"/>
      <c r="C55" s="1"/>
      <c r="D55" s="1"/>
      <c r="E55" s="1"/>
      <c r="F55" s="1"/>
    </row>
    <row r="56" spans="1:6" ht="24.6">
      <c r="A56" s="1"/>
      <c r="B56" s="1"/>
      <c r="C56" s="1"/>
      <c r="D56" s="1"/>
      <c r="E56" s="1"/>
      <c r="F56" s="1"/>
    </row>
  </sheetData>
  <mergeCells count="2">
    <mergeCell ref="A1:F1"/>
    <mergeCell ref="A17:C17"/>
  </mergeCells>
  <hyperlinks>
    <hyperlink ref="G1" location="'6.จัดการเรียนการสอนบัณฑิต'!A1" display="โครงการจัดการเรียนการสอน"/>
  </hyperlinks>
  <pageMargins left="3.937007874015748E-2" right="3.937007874015748E-2" top="0.74803149606299213" bottom="0.74803149606299213" header="0.31496062992125984" footer="0.31496062992125984"/>
  <pageSetup paperSize="9" orientation="landscape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1" workbookViewId="0">
      <selection activeCell="A13" sqref="A13"/>
    </sheetView>
  </sheetViews>
  <sheetFormatPr defaultRowHeight="14.4"/>
  <cols>
    <col min="1" max="1" width="13.44140625" customWidth="1"/>
    <col min="2" max="2" width="15.88671875" customWidth="1"/>
    <col min="3" max="3" width="70.33203125" customWidth="1"/>
    <col min="4" max="4" width="12.88671875" customWidth="1"/>
    <col min="5" max="5" width="13.88671875" customWidth="1"/>
    <col min="6" max="6" width="12.77734375" customWidth="1"/>
  </cols>
  <sheetData>
    <row r="1" spans="1:8" ht="24" customHeight="1">
      <c r="A1" s="134" t="s">
        <v>82</v>
      </c>
      <c r="B1" s="135"/>
      <c r="C1" s="135"/>
      <c r="D1" s="135"/>
      <c r="E1" s="135"/>
      <c r="F1" s="135"/>
      <c r="G1" s="6" t="s">
        <v>28</v>
      </c>
      <c r="H1" s="10"/>
    </row>
    <row r="2" spans="1:8" ht="24" customHeight="1">
      <c r="A2" s="37"/>
      <c r="B2" s="37"/>
      <c r="C2" s="37" t="s">
        <v>23</v>
      </c>
      <c r="D2" s="37"/>
      <c r="E2" s="37"/>
      <c r="F2" s="37"/>
      <c r="G2" s="6"/>
    </row>
    <row r="3" spans="1:8" ht="24.6">
      <c r="A3" s="21" t="s">
        <v>20</v>
      </c>
      <c r="B3" s="21" t="s">
        <v>21</v>
      </c>
      <c r="C3" s="21" t="s">
        <v>6</v>
      </c>
      <c r="D3" s="21" t="s">
        <v>14</v>
      </c>
      <c r="E3" s="21" t="s">
        <v>7</v>
      </c>
      <c r="F3" s="21" t="s">
        <v>4</v>
      </c>
    </row>
    <row r="4" spans="1:8" ht="24.6">
      <c r="A4" s="11"/>
      <c r="B4" s="11"/>
      <c r="C4" s="12" t="s">
        <v>82</v>
      </c>
      <c r="D4" s="13">
        <v>569000</v>
      </c>
      <c r="E4" s="13"/>
      <c r="F4" s="13">
        <f>D4-E4</f>
        <v>569000</v>
      </c>
    </row>
    <row r="5" spans="1:8" ht="48" hidden="1" customHeight="1">
      <c r="A5" s="14" t="s">
        <v>257</v>
      </c>
      <c r="B5" s="14" t="s">
        <v>256</v>
      </c>
      <c r="C5" s="35" t="s">
        <v>253</v>
      </c>
      <c r="D5" s="13"/>
      <c r="E5" s="13">
        <v>20400</v>
      </c>
      <c r="F5" s="13">
        <f>F4+D5-E5</f>
        <v>548600</v>
      </c>
    </row>
    <row r="6" spans="1:8" ht="98.4" hidden="1">
      <c r="A6" s="14" t="s">
        <v>257</v>
      </c>
      <c r="B6" s="14" t="s">
        <v>258</v>
      </c>
      <c r="C6" s="15" t="s">
        <v>254</v>
      </c>
      <c r="D6" s="13"/>
      <c r="E6" s="13">
        <v>21600</v>
      </c>
      <c r="F6" s="13">
        <f t="shared" ref="F6:F15" si="0">F5+D6-E6</f>
        <v>527000</v>
      </c>
    </row>
    <row r="7" spans="1:8" ht="98.4" hidden="1">
      <c r="A7" s="14" t="s">
        <v>257</v>
      </c>
      <c r="B7" s="14" t="s">
        <v>259</v>
      </c>
      <c r="C7" s="15" t="s">
        <v>255</v>
      </c>
      <c r="D7" s="13"/>
      <c r="E7" s="75">
        <v>20400</v>
      </c>
      <c r="F7" s="13">
        <f t="shared" si="0"/>
        <v>506600</v>
      </c>
      <c r="G7" t="s">
        <v>269</v>
      </c>
    </row>
    <row r="8" spans="1:8" ht="98.4" hidden="1">
      <c r="A8" s="14" t="s">
        <v>272</v>
      </c>
      <c r="B8" s="14" t="s">
        <v>273</v>
      </c>
      <c r="C8" s="15" t="s">
        <v>271</v>
      </c>
      <c r="D8" s="13"/>
      <c r="E8" s="13">
        <v>28800</v>
      </c>
      <c r="F8" s="13">
        <f t="shared" si="0"/>
        <v>477800</v>
      </c>
    </row>
    <row r="9" spans="1:8" ht="98.4">
      <c r="A9" s="14" t="s">
        <v>322</v>
      </c>
      <c r="B9" s="14" t="s">
        <v>323</v>
      </c>
      <c r="C9" s="15" t="s">
        <v>320</v>
      </c>
      <c r="D9" s="13"/>
      <c r="E9" s="13">
        <v>26400</v>
      </c>
      <c r="F9" s="13">
        <f t="shared" si="0"/>
        <v>451400</v>
      </c>
    </row>
    <row r="10" spans="1:8" ht="98.4">
      <c r="A10" s="14" t="s">
        <v>322</v>
      </c>
      <c r="B10" s="14" t="s">
        <v>324</v>
      </c>
      <c r="C10" s="15" t="s">
        <v>321</v>
      </c>
      <c r="D10" s="13"/>
      <c r="E10" s="13">
        <v>22000</v>
      </c>
      <c r="F10" s="13">
        <f t="shared" si="0"/>
        <v>429400</v>
      </c>
    </row>
    <row r="11" spans="1:8" ht="98.4">
      <c r="A11" s="14" t="s">
        <v>543</v>
      </c>
      <c r="B11" s="14" t="s">
        <v>544</v>
      </c>
      <c r="C11" s="15" t="s">
        <v>541</v>
      </c>
      <c r="D11" s="13"/>
      <c r="E11" s="13">
        <v>9000</v>
      </c>
      <c r="F11" s="13">
        <f t="shared" si="0"/>
        <v>420400</v>
      </c>
    </row>
    <row r="12" spans="1:8" ht="98.4">
      <c r="A12" s="14" t="s">
        <v>543</v>
      </c>
      <c r="B12" s="14" t="s">
        <v>547</v>
      </c>
      <c r="C12" s="15" t="s">
        <v>542</v>
      </c>
      <c r="D12" s="13"/>
      <c r="E12" s="13">
        <v>9000</v>
      </c>
      <c r="F12" s="13">
        <f t="shared" si="0"/>
        <v>411400</v>
      </c>
    </row>
    <row r="13" spans="1:8" ht="98.4">
      <c r="A13" s="14" t="s">
        <v>543</v>
      </c>
      <c r="B13" s="14" t="s">
        <v>546</v>
      </c>
      <c r="C13" s="15" t="s">
        <v>545</v>
      </c>
      <c r="D13" s="13"/>
      <c r="E13" s="13">
        <v>13500</v>
      </c>
      <c r="F13" s="13">
        <f t="shared" si="0"/>
        <v>397900</v>
      </c>
    </row>
    <row r="14" spans="1:8" ht="24.6">
      <c r="A14" s="68"/>
      <c r="B14" s="69"/>
      <c r="C14" s="81"/>
      <c r="D14" s="13"/>
      <c r="E14" s="13"/>
      <c r="F14" s="13">
        <f t="shared" si="0"/>
        <v>397900</v>
      </c>
    </row>
    <row r="15" spans="1:8" ht="24.6">
      <c r="A15" s="68"/>
      <c r="B15" s="69"/>
      <c r="C15" s="81"/>
      <c r="D15" s="13"/>
      <c r="E15" s="13"/>
      <c r="F15" s="13">
        <f t="shared" si="0"/>
        <v>397900</v>
      </c>
    </row>
    <row r="16" spans="1:8" ht="24.6">
      <c r="A16" s="126" t="s">
        <v>5</v>
      </c>
      <c r="B16" s="127"/>
      <c r="C16" s="128"/>
      <c r="D16" s="38">
        <f>SUM(D4:D10)</f>
        <v>569000</v>
      </c>
      <c r="E16" s="38">
        <f>SUM(E4:E15)</f>
        <v>171100</v>
      </c>
      <c r="F16" s="38">
        <f>D16-E16</f>
        <v>397900</v>
      </c>
    </row>
    <row r="17" spans="1:6" ht="24.6">
      <c r="A17" s="20"/>
      <c r="B17" s="20"/>
      <c r="C17" s="20"/>
      <c r="D17" s="20"/>
      <c r="E17" s="20"/>
      <c r="F17" s="20"/>
    </row>
    <row r="18" spans="1:6" ht="24.6">
      <c r="A18" s="20"/>
      <c r="B18" s="20"/>
      <c r="C18" s="20" t="s">
        <v>35</v>
      </c>
      <c r="D18" s="20"/>
      <c r="E18" s="20"/>
      <c r="F18" s="20"/>
    </row>
    <row r="19" spans="1:6" ht="24.6">
      <c r="A19" s="1"/>
      <c r="B19" s="1"/>
      <c r="C19" s="20" t="s">
        <v>532</v>
      </c>
      <c r="D19" s="1"/>
      <c r="E19" s="1"/>
      <c r="F19" s="1"/>
    </row>
    <row r="20" spans="1:6" ht="24.6">
      <c r="A20" s="1"/>
      <c r="B20" s="1"/>
      <c r="C20" s="1"/>
      <c r="D20" s="1"/>
      <c r="E20" s="1"/>
      <c r="F20" s="1"/>
    </row>
    <row r="21" spans="1:6" ht="24.6">
      <c r="A21" s="1"/>
      <c r="B21" s="1"/>
      <c r="C21" s="1" t="s">
        <v>15</v>
      </c>
      <c r="D21" s="1"/>
      <c r="E21" s="1"/>
      <c r="F21" s="1"/>
    </row>
    <row r="22" spans="1:6" ht="24.6">
      <c r="A22" s="1"/>
      <c r="B22" s="1"/>
      <c r="C22" s="1"/>
      <c r="D22" s="1"/>
      <c r="E22" s="1"/>
      <c r="F22" s="1"/>
    </row>
    <row r="23" spans="1:6" ht="24.6">
      <c r="A23" s="1"/>
      <c r="B23" s="1"/>
      <c r="C23" s="1"/>
      <c r="D23" s="1"/>
      <c r="E23" s="1"/>
      <c r="F23" s="1"/>
    </row>
    <row r="24" spans="1:6" ht="24.6">
      <c r="A24" s="1"/>
      <c r="B24" s="1"/>
      <c r="C24" s="1"/>
      <c r="D24" s="1"/>
      <c r="E24" s="1"/>
      <c r="F24" s="1"/>
    </row>
    <row r="25" spans="1:6" ht="24.6">
      <c r="A25" s="1"/>
      <c r="B25" s="1"/>
      <c r="C25" s="1"/>
      <c r="D25" s="1"/>
      <c r="E25" s="1"/>
      <c r="F25" s="1"/>
    </row>
    <row r="26" spans="1:6" ht="24.6">
      <c r="A26" s="1"/>
      <c r="B26" s="1"/>
      <c r="C26" s="1"/>
      <c r="D26" s="1"/>
      <c r="E26" s="1"/>
      <c r="F26" s="1"/>
    </row>
    <row r="27" spans="1:6" ht="24.6">
      <c r="A27" s="1"/>
      <c r="B27" s="1"/>
      <c r="C27" s="1"/>
      <c r="D27" s="1"/>
      <c r="E27" s="1"/>
      <c r="F27" s="1"/>
    </row>
    <row r="28" spans="1:6" ht="24.6">
      <c r="A28" s="1"/>
      <c r="B28" s="1"/>
      <c r="C28" s="1"/>
      <c r="D28" s="1"/>
      <c r="E28" s="1"/>
      <c r="F28" s="1"/>
    </row>
    <row r="29" spans="1:6" ht="24.6">
      <c r="A29" s="1"/>
      <c r="B29" s="1"/>
      <c r="C29" s="1"/>
      <c r="D29" s="1"/>
      <c r="E29" s="1"/>
      <c r="F29" s="1"/>
    </row>
    <row r="30" spans="1:6" ht="24.6">
      <c r="A30" s="1"/>
      <c r="B30" s="1"/>
      <c r="C30" s="1"/>
      <c r="D30" s="1"/>
      <c r="E30" s="1"/>
      <c r="F30" s="1"/>
    </row>
    <row r="31" spans="1:6" ht="24.6">
      <c r="A31" s="1"/>
      <c r="B31" s="1"/>
      <c r="C31" s="1"/>
      <c r="D31" s="1"/>
      <c r="E31" s="1"/>
      <c r="F31" s="1"/>
    </row>
    <row r="32" spans="1:6" ht="24.6">
      <c r="A32" s="1"/>
      <c r="B32" s="1"/>
      <c r="C32" s="1"/>
      <c r="D32" s="1"/>
      <c r="E32" s="1"/>
      <c r="F32" s="1"/>
    </row>
    <row r="33" spans="1:6" ht="24.6">
      <c r="A33" s="1"/>
      <c r="B33" s="1"/>
      <c r="C33" s="1"/>
      <c r="D33" s="1"/>
      <c r="E33" s="1"/>
      <c r="F33" s="1"/>
    </row>
    <row r="34" spans="1:6" ht="24.6">
      <c r="A34" s="1"/>
      <c r="B34" s="1"/>
      <c r="C34" s="1"/>
      <c r="D34" s="1"/>
      <c r="E34" s="1"/>
      <c r="F34" s="1"/>
    </row>
    <row r="35" spans="1:6" ht="24.6">
      <c r="A35" s="1"/>
      <c r="B35" s="1"/>
      <c r="C35" s="1"/>
      <c r="D35" s="1"/>
      <c r="E35" s="1"/>
      <c r="F35" s="1"/>
    </row>
    <row r="36" spans="1:6" ht="24.6">
      <c r="A36" s="1"/>
      <c r="B36" s="1"/>
      <c r="C36" s="1"/>
      <c r="D36" s="1"/>
      <c r="E36" s="1"/>
      <c r="F36" s="1"/>
    </row>
    <row r="37" spans="1:6" ht="24.6">
      <c r="A37" s="1"/>
      <c r="B37" s="1"/>
      <c r="C37" s="1"/>
      <c r="D37" s="1"/>
      <c r="E37" s="1"/>
      <c r="F37" s="1"/>
    </row>
    <row r="38" spans="1:6" ht="24.6">
      <c r="A38" s="1"/>
      <c r="B38" s="1"/>
      <c r="C38" s="1"/>
      <c r="D38" s="1"/>
      <c r="E38" s="1"/>
      <c r="F38" s="1"/>
    </row>
    <row r="39" spans="1:6" ht="24.6">
      <c r="A39" s="1"/>
      <c r="B39" s="1"/>
      <c r="C39" s="1"/>
      <c r="D39" s="1"/>
      <c r="E39" s="1"/>
      <c r="F39" s="1"/>
    </row>
    <row r="40" spans="1:6" ht="24.6">
      <c r="A40" s="1"/>
      <c r="B40" s="1"/>
      <c r="C40" s="1"/>
      <c r="D40" s="1"/>
      <c r="E40" s="1"/>
      <c r="F40" s="1"/>
    </row>
    <row r="41" spans="1:6" ht="24.6">
      <c r="A41" s="1"/>
      <c r="B41" s="1"/>
      <c r="C41" s="1"/>
      <c r="D41" s="1"/>
      <c r="E41" s="1"/>
      <c r="F41" s="1"/>
    </row>
    <row r="42" spans="1:6" ht="24.6">
      <c r="A42" s="1"/>
      <c r="B42" s="1"/>
      <c r="C42" s="1"/>
      <c r="D42" s="1"/>
      <c r="E42" s="1"/>
      <c r="F42" s="1"/>
    </row>
    <row r="43" spans="1:6" ht="24.6">
      <c r="A43" s="1"/>
      <c r="B43" s="1"/>
      <c r="C43" s="1"/>
      <c r="D43" s="1"/>
      <c r="E43" s="1"/>
      <c r="F43" s="1"/>
    </row>
    <row r="44" spans="1:6" ht="24.6">
      <c r="A44" s="1"/>
      <c r="B44" s="1"/>
      <c r="C44" s="1"/>
      <c r="D44" s="1"/>
      <c r="E44" s="1"/>
      <c r="F44" s="1"/>
    </row>
    <row r="45" spans="1:6" ht="24.6">
      <c r="A45" s="1"/>
      <c r="B45" s="1"/>
      <c r="C45" s="1"/>
      <c r="D45" s="1"/>
      <c r="E45" s="1"/>
      <c r="F45" s="1"/>
    </row>
    <row r="46" spans="1:6" ht="24.6">
      <c r="A46" s="1"/>
      <c r="B46" s="1"/>
      <c r="C46" s="1"/>
      <c r="D46" s="1"/>
      <c r="E46" s="1"/>
      <c r="F46" s="1"/>
    </row>
    <row r="47" spans="1:6" ht="24.6">
      <c r="A47" s="1"/>
      <c r="B47" s="1"/>
      <c r="C47" s="1"/>
      <c r="D47" s="1"/>
      <c r="E47" s="1"/>
      <c r="F47" s="1"/>
    </row>
    <row r="48" spans="1:6" ht="24.6">
      <c r="A48" s="1"/>
      <c r="B48" s="1"/>
      <c r="C48" s="1"/>
      <c r="D48" s="1"/>
      <c r="E48" s="1"/>
      <c r="F48" s="1"/>
    </row>
    <row r="49" spans="1:6" ht="24.6">
      <c r="A49" s="1"/>
      <c r="B49" s="1"/>
      <c r="C49" s="1"/>
      <c r="D49" s="1"/>
      <c r="E49" s="1"/>
      <c r="F49" s="1"/>
    </row>
    <row r="50" spans="1:6" ht="24.6">
      <c r="A50" s="1"/>
      <c r="B50" s="1"/>
      <c r="C50" s="1"/>
      <c r="D50" s="1"/>
      <c r="E50" s="1"/>
      <c r="F50" s="1"/>
    </row>
    <row r="51" spans="1:6" ht="24.6">
      <c r="A51" s="1"/>
      <c r="B51" s="1"/>
      <c r="C51" s="1"/>
      <c r="D51" s="1"/>
      <c r="E51" s="1"/>
      <c r="F51" s="1"/>
    </row>
    <row r="52" spans="1:6" ht="24.6">
      <c r="A52" s="1"/>
      <c r="B52" s="1"/>
      <c r="C52" s="1"/>
      <c r="D52" s="1"/>
      <c r="E52" s="1"/>
      <c r="F52" s="1"/>
    </row>
    <row r="53" spans="1:6" ht="24.6">
      <c r="A53" s="1"/>
      <c r="B53" s="1"/>
      <c r="C53" s="1"/>
      <c r="D53" s="1"/>
      <c r="E53" s="1"/>
      <c r="F53" s="1"/>
    </row>
    <row r="54" spans="1:6" ht="24.6">
      <c r="A54" s="1"/>
      <c r="B54" s="1"/>
      <c r="C54" s="1"/>
      <c r="D54" s="1"/>
      <c r="E54" s="1"/>
      <c r="F54" s="1"/>
    </row>
    <row r="55" spans="1:6" ht="24.6">
      <c r="A55" s="1"/>
      <c r="B55" s="1"/>
      <c r="C55" s="1"/>
      <c r="D55" s="1"/>
      <c r="E55" s="1"/>
      <c r="F55" s="1"/>
    </row>
  </sheetData>
  <mergeCells count="2">
    <mergeCell ref="A1:F1"/>
    <mergeCell ref="A16:C16"/>
  </mergeCells>
  <hyperlinks>
    <hyperlink ref="G1" location="'6.จัดการเรียนการสอนบัณฑิต'!A1" display="โครงการจัดการเรียนการสอน"/>
  </hyperlinks>
  <pageMargins left="3.937007874015748E-2" right="3.937007874015748E-2" top="0.74803149606299213" bottom="0.74803149606299213" header="0.31496062992125984" footer="0.31496062992125984"/>
  <pageSetup paperSize="9" orientation="landscape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0"/>
  <sheetViews>
    <sheetView topLeftCell="A23" workbookViewId="0">
      <selection activeCell="A23" sqref="A23"/>
    </sheetView>
  </sheetViews>
  <sheetFormatPr defaultRowHeight="14.4"/>
  <cols>
    <col min="1" max="1" width="13.44140625" customWidth="1"/>
    <col min="2" max="2" width="15.88671875" customWidth="1"/>
    <col min="3" max="3" width="70.33203125" customWidth="1"/>
    <col min="4" max="4" width="14.33203125" customWidth="1"/>
    <col min="5" max="5" width="13.88671875" customWidth="1"/>
    <col min="6" max="6" width="15" customWidth="1"/>
    <col min="9" max="9" width="10.33203125" bestFit="1" customWidth="1"/>
    <col min="10" max="10" width="10.109375" bestFit="1" customWidth="1"/>
  </cols>
  <sheetData>
    <row r="1" spans="1:8" ht="24" customHeight="1">
      <c r="A1" s="134" t="s">
        <v>83</v>
      </c>
      <c r="B1" s="135"/>
      <c r="C1" s="135"/>
      <c r="D1" s="135"/>
      <c r="E1" s="135"/>
      <c r="F1" s="135"/>
      <c r="G1" s="6" t="s">
        <v>28</v>
      </c>
      <c r="H1" s="10"/>
    </row>
    <row r="2" spans="1:8" ht="24" customHeight="1">
      <c r="A2" s="42"/>
      <c r="B2" s="42"/>
      <c r="C2" s="42" t="s">
        <v>23</v>
      </c>
      <c r="D2" s="42"/>
      <c r="E2" s="42"/>
      <c r="F2" s="42"/>
      <c r="G2" s="6"/>
    </row>
    <row r="3" spans="1:8" ht="24.6">
      <c r="A3" s="21" t="s">
        <v>20</v>
      </c>
      <c r="B3" s="21" t="s">
        <v>21</v>
      </c>
      <c r="C3" s="21" t="s">
        <v>6</v>
      </c>
      <c r="D3" s="21" t="s">
        <v>14</v>
      </c>
      <c r="E3" s="21" t="s">
        <v>7</v>
      </c>
      <c r="F3" s="21" t="s">
        <v>4</v>
      </c>
    </row>
    <row r="4" spans="1:8" ht="24.6">
      <c r="A4" s="11"/>
      <c r="B4" s="11"/>
      <c r="C4" s="12" t="s">
        <v>83</v>
      </c>
      <c r="D4" s="13">
        <v>1137000</v>
      </c>
      <c r="E4" s="13"/>
      <c r="F4" s="13">
        <f>D4-E4</f>
        <v>1137000</v>
      </c>
    </row>
    <row r="5" spans="1:8" ht="24" hidden="1" customHeight="1">
      <c r="A5" s="14" t="s">
        <v>151</v>
      </c>
      <c r="B5" s="14" t="s">
        <v>152</v>
      </c>
      <c r="C5" s="15" t="s">
        <v>153</v>
      </c>
      <c r="D5" s="13"/>
      <c r="E5" s="13">
        <v>30000</v>
      </c>
      <c r="F5" s="13">
        <f>F4+D5-E5</f>
        <v>1107000</v>
      </c>
    </row>
    <row r="6" spans="1:8" ht="49.2" hidden="1">
      <c r="A6" s="14" t="s">
        <v>151</v>
      </c>
      <c r="B6" s="14" t="s">
        <v>154</v>
      </c>
      <c r="C6" s="15" t="s">
        <v>155</v>
      </c>
      <c r="D6" s="13"/>
      <c r="E6" s="13">
        <v>20000</v>
      </c>
      <c r="F6" s="13">
        <f t="shared" ref="F6:F30" si="0">F5+D6-E6</f>
        <v>1087000</v>
      </c>
    </row>
    <row r="7" spans="1:8" ht="49.2" hidden="1">
      <c r="A7" s="14" t="s">
        <v>151</v>
      </c>
      <c r="B7" s="14" t="s">
        <v>156</v>
      </c>
      <c r="C7" s="15" t="s">
        <v>157</v>
      </c>
      <c r="D7" s="13"/>
      <c r="E7" s="13">
        <v>10000</v>
      </c>
      <c r="F7" s="13">
        <f t="shared" si="0"/>
        <v>1077000</v>
      </c>
    </row>
    <row r="8" spans="1:8" ht="49.2" hidden="1">
      <c r="A8" s="14" t="s">
        <v>151</v>
      </c>
      <c r="B8" s="14" t="s">
        <v>158</v>
      </c>
      <c r="C8" s="15" t="s">
        <v>159</v>
      </c>
      <c r="D8" s="13"/>
      <c r="E8" s="13">
        <v>54400</v>
      </c>
      <c r="F8" s="13">
        <f t="shared" si="0"/>
        <v>1022600</v>
      </c>
    </row>
    <row r="9" spans="1:8" ht="49.2" hidden="1">
      <c r="A9" s="14" t="s">
        <v>151</v>
      </c>
      <c r="B9" s="14" t="s">
        <v>160</v>
      </c>
      <c r="C9" s="15" t="s">
        <v>161</v>
      </c>
      <c r="D9" s="13"/>
      <c r="E9" s="13">
        <v>54400</v>
      </c>
      <c r="F9" s="13">
        <f t="shared" si="0"/>
        <v>968200</v>
      </c>
    </row>
    <row r="10" spans="1:8" ht="49.2" hidden="1">
      <c r="A10" s="14" t="s">
        <v>151</v>
      </c>
      <c r="B10" s="14" t="s">
        <v>162</v>
      </c>
      <c r="C10" s="15" t="s">
        <v>159</v>
      </c>
      <c r="D10" s="13"/>
      <c r="E10" s="13">
        <v>54400</v>
      </c>
      <c r="F10" s="13">
        <f t="shared" si="0"/>
        <v>913800</v>
      </c>
    </row>
    <row r="11" spans="1:8" ht="98.4" hidden="1">
      <c r="A11" s="14" t="s">
        <v>272</v>
      </c>
      <c r="B11" s="14" t="s">
        <v>274</v>
      </c>
      <c r="C11" s="15" t="s">
        <v>285</v>
      </c>
      <c r="D11" s="13"/>
      <c r="E11" s="13">
        <v>15000</v>
      </c>
      <c r="F11" s="13">
        <f t="shared" si="0"/>
        <v>898800</v>
      </c>
    </row>
    <row r="12" spans="1:8" ht="98.4" hidden="1">
      <c r="A12" s="14" t="s">
        <v>272</v>
      </c>
      <c r="B12" s="14" t="s">
        <v>275</v>
      </c>
      <c r="C12" s="15" t="s">
        <v>286</v>
      </c>
      <c r="D12" s="13"/>
      <c r="E12" s="13">
        <v>30000</v>
      </c>
      <c r="F12" s="13">
        <f t="shared" si="0"/>
        <v>868800</v>
      </c>
    </row>
    <row r="13" spans="1:8" ht="98.4" hidden="1">
      <c r="A13" s="14" t="s">
        <v>272</v>
      </c>
      <c r="B13" s="69" t="s">
        <v>276</v>
      </c>
      <c r="C13" s="70" t="s">
        <v>287</v>
      </c>
      <c r="D13" s="13"/>
      <c r="E13" s="13">
        <v>20000</v>
      </c>
      <c r="F13" s="13">
        <f t="shared" si="0"/>
        <v>848800</v>
      </c>
    </row>
    <row r="14" spans="1:8" ht="98.4" hidden="1">
      <c r="A14" s="14" t="s">
        <v>272</v>
      </c>
      <c r="B14" s="69" t="s">
        <v>277</v>
      </c>
      <c r="C14" s="70" t="s">
        <v>285</v>
      </c>
      <c r="D14" s="13"/>
      <c r="E14" s="13">
        <v>10000</v>
      </c>
      <c r="F14" s="13">
        <f t="shared" si="0"/>
        <v>838800</v>
      </c>
    </row>
    <row r="15" spans="1:8" ht="98.4" hidden="1">
      <c r="A15" s="14" t="s">
        <v>272</v>
      </c>
      <c r="B15" s="69" t="s">
        <v>278</v>
      </c>
      <c r="C15" s="70" t="s">
        <v>286</v>
      </c>
      <c r="D15" s="13"/>
      <c r="E15" s="13">
        <v>40000</v>
      </c>
      <c r="F15" s="13">
        <f t="shared" si="0"/>
        <v>798800</v>
      </c>
    </row>
    <row r="16" spans="1:8" ht="98.4" hidden="1">
      <c r="A16" s="14" t="s">
        <v>272</v>
      </c>
      <c r="B16" s="69" t="s">
        <v>279</v>
      </c>
      <c r="C16" s="70" t="s">
        <v>287</v>
      </c>
      <c r="D16" s="13"/>
      <c r="E16" s="13">
        <v>25000</v>
      </c>
      <c r="F16" s="13">
        <f t="shared" si="0"/>
        <v>773800</v>
      </c>
    </row>
    <row r="17" spans="1:10" ht="98.4" hidden="1">
      <c r="A17" s="14" t="s">
        <v>272</v>
      </c>
      <c r="B17" s="69" t="s">
        <v>280</v>
      </c>
      <c r="C17" s="70" t="s">
        <v>287</v>
      </c>
      <c r="D17" s="13"/>
      <c r="E17" s="13">
        <v>25000</v>
      </c>
      <c r="F17" s="13">
        <f t="shared" si="0"/>
        <v>748800</v>
      </c>
    </row>
    <row r="18" spans="1:10" ht="98.4" hidden="1">
      <c r="A18" s="14" t="s">
        <v>272</v>
      </c>
      <c r="B18" s="69" t="s">
        <v>281</v>
      </c>
      <c r="C18" s="70" t="s">
        <v>286</v>
      </c>
      <c r="D18" s="13"/>
      <c r="E18" s="13">
        <v>10000</v>
      </c>
      <c r="F18" s="13">
        <f t="shared" si="0"/>
        <v>738800</v>
      </c>
    </row>
    <row r="19" spans="1:10" ht="98.4" hidden="1">
      <c r="A19" s="14" t="s">
        <v>272</v>
      </c>
      <c r="B19" s="69" t="s">
        <v>282</v>
      </c>
      <c r="C19" s="70" t="s">
        <v>287</v>
      </c>
      <c r="D19" s="13"/>
      <c r="E19" s="13">
        <v>13500</v>
      </c>
      <c r="F19" s="13">
        <f t="shared" si="0"/>
        <v>725300</v>
      </c>
    </row>
    <row r="20" spans="1:10" ht="98.4" hidden="1">
      <c r="A20" s="14" t="s">
        <v>272</v>
      </c>
      <c r="B20" s="69" t="s">
        <v>283</v>
      </c>
      <c r="C20" s="70" t="s">
        <v>286</v>
      </c>
      <c r="D20" s="13"/>
      <c r="E20" s="13">
        <v>52000</v>
      </c>
      <c r="F20" s="13">
        <f t="shared" si="0"/>
        <v>673300</v>
      </c>
    </row>
    <row r="21" spans="1:10" ht="98.4" hidden="1">
      <c r="A21" s="14" t="s">
        <v>272</v>
      </c>
      <c r="B21" s="69" t="s">
        <v>284</v>
      </c>
      <c r="C21" s="70" t="s">
        <v>287</v>
      </c>
      <c r="D21" s="13"/>
      <c r="E21" s="13">
        <v>11000</v>
      </c>
      <c r="F21" s="13">
        <f t="shared" si="0"/>
        <v>662300</v>
      </c>
    </row>
    <row r="22" spans="1:10" ht="98.4" hidden="1">
      <c r="A22" s="14" t="s">
        <v>382</v>
      </c>
      <c r="B22" s="14" t="s">
        <v>383</v>
      </c>
      <c r="C22" s="15" t="s">
        <v>381</v>
      </c>
      <c r="D22" s="13"/>
      <c r="E22" s="13">
        <v>48000</v>
      </c>
      <c r="F22" s="13">
        <f t="shared" si="0"/>
        <v>614300</v>
      </c>
    </row>
    <row r="23" spans="1:10" ht="123">
      <c r="A23" s="14" t="s">
        <v>464</v>
      </c>
      <c r="B23" s="14" t="s">
        <v>465</v>
      </c>
      <c r="C23" s="15" t="s">
        <v>466</v>
      </c>
      <c r="D23" s="13"/>
      <c r="E23" s="13">
        <v>11750</v>
      </c>
      <c r="F23" s="13">
        <f t="shared" si="0"/>
        <v>602550</v>
      </c>
    </row>
    <row r="24" spans="1:10" ht="98.4">
      <c r="A24" s="14" t="s">
        <v>548</v>
      </c>
      <c r="B24" s="14" t="s">
        <v>549</v>
      </c>
      <c r="C24" s="15" t="s">
        <v>540</v>
      </c>
      <c r="D24" s="13"/>
      <c r="E24" s="13">
        <v>11000</v>
      </c>
      <c r="F24" s="13">
        <f t="shared" si="0"/>
        <v>591550</v>
      </c>
    </row>
    <row r="25" spans="1:10" ht="98.4">
      <c r="A25" s="14" t="s">
        <v>548</v>
      </c>
      <c r="B25" s="14" t="s">
        <v>550</v>
      </c>
      <c r="C25" s="15" t="s">
        <v>551</v>
      </c>
      <c r="D25" s="13"/>
      <c r="E25" s="13">
        <v>13500</v>
      </c>
      <c r="F25" s="13">
        <f t="shared" si="0"/>
        <v>578050</v>
      </c>
    </row>
    <row r="26" spans="1:10" ht="98.4">
      <c r="A26" s="14" t="s">
        <v>548</v>
      </c>
      <c r="B26" s="14" t="s">
        <v>555</v>
      </c>
      <c r="C26" s="15" t="s">
        <v>552</v>
      </c>
      <c r="D26" s="13"/>
      <c r="E26" s="13">
        <v>15000</v>
      </c>
      <c r="F26" s="13">
        <f t="shared" si="0"/>
        <v>563050</v>
      </c>
      <c r="H26" s="109"/>
      <c r="I26" s="109"/>
      <c r="J26" s="109"/>
    </row>
    <row r="27" spans="1:10" ht="98.4">
      <c r="A27" s="14" t="s">
        <v>548</v>
      </c>
      <c r="B27" s="14" t="s">
        <v>556</v>
      </c>
      <c r="C27" s="15" t="s">
        <v>553</v>
      </c>
      <c r="D27" s="13"/>
      <c r="E27" s="13">
        <v>10000</v>
      </c>
      <c r="F27" s="13">
        <f t="shared" si="0"/>
        <v>553050</v>
      </c>
      <c r="H27" s="109"/>
      <c r="I27" s="109"/>
      <c r="J27" s="109"/>
    </row>
    <row r="28" spans="1:10" ht="98.4">
      <c r="A28" s="14" t="s">
        <v>548</v>
      </c>
      <c r="B28" s="14" t="s">
        <v>557</v>
      </c>
      <c r="C28" s="15" t="s">
        <v>554</v>
      </c>
      <c r="D28" s="13"/>
      <c r="E28" s="13">
        <v>10000</v>
      </c>
      <c r="F28" s="13">
        <f t="shared" si="0"/>
        <v>543050</v>
      </c>
      <c r="H28" s="109"/>
      <c r="I28" s="109"/>
      <c r="J28" s="109"/>
    </row>
    <row r="29" spans="1:10" ht="98.4">
      <c r="A29" s="14" t="s">
        <v>548</v>
      </c>
      <c r="B29" s="14" t="s">
        <v>559</v>
      </c>
      <c r="C29" s="15" t="s">
        <v>558</v>
      </c>
      <c r="D29" s="13"/>
      <c r="E29" s="13">
        <v>15000</v>
      </c>
      <c r="F29" s="13">
        <f t="shared" si="0"/>
        <v>528050</v>
      </c>
      <c r="H29" s="109"/>
      <c r="I29" s="109"/>
      <c r="J29" s="109"/>
    </row>
    <row r="30" spans="1:10" ht="24.6">
      <c r="A30" s="14" t="s">
        <v>548</v>
      </c>
      <c r="B30" s="14"/>
      <c r="C30" s="15"/>
      <c r="D30" s="13"/>
      <c r="E30" s="13"/>
      <c r="F30" s="13">
        <f t="shared" si="0"/>
        <v>528050</v>
      </c>
      <c r="H30" s="109"/>
      <c r="I30" s="109"/>
      <c r="J30" s="109"/>
    </row>
    <row r="31" spans="1:10" ht="24.6">
      <c r="A31" s="126" t="s">
        <v>5</v>
      </c>
      <c r="B31" s="127"/>
      <c r="C31" s="128"/>
      <c r="D31" s="38">
        <f>SUM(D4:D10)</f>
        <v>1137000</v>
      </c>
      <c r="E31" s="38">
        <f>SUM(E4:E30)</f>
        <v>608950</v>
      </c>
      <c r="F31" s="38">
        <f>D31-E31</f>
        <v>528050</v>
      </c>
    </row>
    <row r="32" spans="1:10" ht="24.6">
      <c r="A32" s="1"/>
      <c r="B32" s="1"/>
      <c r="C32" s="1"/>
      <c r="D32" s="1"/>
      <c r="E32" s="1"/>
      <c r="F32" s="1"/>
    </row>
    <row r="33" spans="1:6" ht="24.6">
      <c r="A33" s="1"/>
      <c r="B33" s="1"/>
      <c r="C33" s="1" t="s">
        <v>16</v>
      </c>
      <c r="D33" s="20"/>
      <c r="E33" s="20" t="s">
        <v>530</v>
      </c>
      <c r="F33" s="20" t="s">
        <v>4</v>
      </c>
    </row>
    <row r="34" spans="1:6" ht="24.6">
      <c r="A34" s="1"/>
      <c r="B34" s="1"/>
      <c r="C34" s="20" t="s">
        <v>533</v>
      </c>
      <c r="D34" s="20"/>
      <c r="E34" s="20">
        <v>60000</v>
      </c>
      <c r="F34" s="20"/>
    </row>
    <row r="35" spans="1:6" ht="24.6">
      <c r="A35" s="1"/>
      <c r="B35" s="1"/>
      <c r="C35" s="20" t="s">
        <v>534</v>
      </c>
      <c r="D35" s="20"/>
      <c r="E35" s="20">
        <v>66000</v>
      </c>
      <c r="F35" s="20"/>
    </row>
    <row r="36" spans="1:6" ht="24.6">
      <c r="A36" s="1"/>
      <c r="B36" s="1"/>
      <c r="C36" s="1" t="s">
        <v>15</v>
      </c>
      <c r="D36" s="20"/>
      <c r="E36" s="20">
        <f>SUM(E34:E35)</f>
        <v>126000</v>
      </c>
      <c r="F36" s="60">
        <f>F31-E36</f>
        <v>402050</v>
      </c>
    </row>
    <row r="37" spans="1:6" ht="24.6">
      <c r="A37" s="1"/>
      <c r="B37" s="1"/>
      <c r="C37" s="1"/>
      <c r="D37" s="20"/>
      <c r="E37" s="20"/>
      <c r="F37" s="20"/>
    </row>
    <row r="38" spans="1:6" ht="24.6">
      <c r="A38" s="1"/>
      <c r="B38" s="1"/>
      <c r="C38" s="1"/>
      <c r="D38" s="136" t="s">
        <v>470</v>
      </c>
      <c r="E38" s="136"/>
      <c r="F38" s="136"/>
    </row>
    <row r="39" spans="1:6" ht="24.6">
      <c r="A39" s="1"/>
      <c r="B39" s="1"/>
      <c r="C39" s="1"/>
      <c r="D39" s="97" t="s">
        <v>468</v>
      </c>
      <c r="E39" s="97" t="s">
        <v>469</v>
      </c>
      <c r="F39" s="97" t="s">
        <v>4</v>
      </c>
    </row>
    <row r="40" spans="1:6" ht="24.6">
      <c r="A40" s="1"/>
      <c r="B40" s="1"/>
      <c r="C40" s="1"/>
      <c r="D40">
        <v>77750</v>
      </c>
      <c r="E40" s="96">
        <f>E23</f>
        <v>11750</v>
      </c>
      <c r="F40" s="76">
        <f>D40-E40</f>
        <v>66000</v>
      </c>
    </row>
    <row r="41" spans="1:6" ht="24.6">
      <c r="A41" s="1"/>
      <c r="B41" s="1"/>
      <c r="C41" s="1"/>
      <c r="D41" s="20"/>
      <c r="E41" s="20"/>
      <c r="F41" s="20"/>
    </row>
    <row r="42" spans="1:6" ht="24.6">
      <c r="A42" s="1"/>
      <c r="B42" s="1"/>
      <c r="C42" s="1"/>
      <c r="D42" s="1"/>
      <c r="E42" s="1"/>
      <c r="F42" s="1"/>
    </row>
    <row r="43" spans="1:6" ht="24.6">
      <c r="A43" s="1"/>
      <c r="B43" s="1"/>
      <c r="C43" s="1"/>
      <c r="D43" s="1"/>
      <c r="E43" s="1"/>
      <c r="F43" s="1"/>
    </row>
    <row r="44" spans="1:6" ht="24.6">
      <c r="A44" s="1"/>
      <c r="B44" s="1"/>
      <c r="C44" s="1"/>
      <c r="D44" s="1"/>
      <c r="E44" s="1"/>
      <c r="F44" s="1"/>
    </row>
    <row r="45" spans="1:6" ht="24.6">
      <c r="A45" s="1"/>
      <c r="B45" s="1"/>
      <c r="C45" s="1"/>
      <c r="D45" s="1"/>
      <c r="E45" s="1"/>
      <c r="F45" s="1"/>
    </row>
    <row r="46" spans="1:6" ht="24.6">
      <c r="A46" s="1"/>
      <c r="B46" s="1"/>
      <c r="C46" s="1"/>
      <c r="D46" s="1"/>
      <c r="E46" s="1"/>
      <c r="F46" s="1"/>
    </row>
    <row r="47" spans="1:6" ht="24.6">
      <c r="A47" s="1"/>
      <c r="B47" s="1"/>
      <c r="C47" s="1"/>
      <c r="D47" s="1"/>
      <c r="E47" s="1"/>
      <c r="F47" s="1"/>
    </row>
    <row r="48" spans="1:6" ht="24.6">
      <c r="A48" s="1"/>
      <c r="B48" s="1"/>
      <c r="C48" s="1"/>
      <c r="D48" s="1"/>
      <c r="E48" s="1"/>
      <c r="F48" s="1"/>
    </row>
    <row r="49" spans="1:6" ht="24.6">
      <c r="A49" s="1"/>
      <c r="B49" s="1"/>
      <c r="C49" s="1"/>
      <c r="D49" s="1"/>
      <c r="E49" s="1"/>
      <c r="F49" s="1"/>
    </row>
    <row r="50" spans="1:6" ht="24.6">
      <c r="A50" s="1"/>
      <c r="B50" s="1"/>
      <c r="C50" s="1"/>
      <c r="D50" s="1"/>
      <c r="E50" s="1"/>
      <c r="F50" s="1"/>
    </row>
    <row r="51" spans="1:6" ht="24.6">
      <c r="A51" s="1"/>
      <c r="B51" s="1"/>
      <c r="C51" s="1"/>
      <c r="D51" s="1"/>
      <c r="E51" s="1"/>
      <c r="F51" s="1"/>
    </row>
    <row r="52" spans="1:6" ht="24.6">
      <c r="A52" s="1"/>
      <c r="B52" s="1"/>
      <c r="C52" s="1"/>
      <c r="D52" s="1"/>
      <c r="E52" s="1"/>
      <c r="F52" s="1"/>
    </row>
    <row r="53" spans="1:6" ht="24.6">
      <c r="A53" s="1"/>
      <c r="B53" s="1"/>
      <c r="C53" s="1"/>
      <c r="D53" s="1"/>
      <c r="E53" s="1"/>
      <c r="F53" s="1"/>
    </row>
    <row r="54" spans="1:6" ht="24.6">
      <c r="A54" s="1"/>
      <c r="B54" s="1"/>
      <c r="C54" s="1"/>
      <c r="D54" s="1"/>
      <c r="E54" s="1"/>
      <c r="F54" s="1"/>
    </row>
    <row r="55" spans="1:6" ht="24.6">
      <c r="A55" s="1"/>
      <c r="B55" s="1"/>
      <c r="C55" s="1"/>
      <c r="D55" s="1"/>
      <c r="E55" s="1"/>
      <c r="F55" s="1"/>
    </row>
    <row r="56" spans="1:6" ht="24.6">
      <c r="A56" s="1"/>
      <c r="B56" s="1"/>
      <c r="C56" s="1"/>
      <c r="D56" s="1"/>
      <c r="E56" s="1"/>
      <c r="F56" s="1"/>
    </row>
    <row r="57" spans="1:6" ht="24.6">
      <c r="A57" s="1"/>
      <c r="B57" s="1"/>
      <c r="C57" s="1"/>
      <c r="D57" s="1"/>
      <c r="E57" s="1"/>
      <c r="F57" s="1"/>
    </row>
    <row r="58" spans="1:6" ht="24.6">
      <c r="A58" s="1"/>
      <c r="B58" s="1"/>
      <c r="C58" s="1"/>
      <c r="D58" s="1"/>
      <c r="E58" s="1"/>
      <c r="F58" s="1"/>
    </row>
    <row r="59" spans="1:6" ht="24.6">
      <c r="A59" s="1"/>
      <c r="B59" s="1"/>
      <c r="C59" s="1"/>
      <c r="D59" s="1"/>
      <c r="E59" s="1"/>
      <c r="F59" s="1"/>
    </row>
    <row r="60" spans="1:6" ht="24.6">
      <c r="A60" s="1"/>
      <c r="B60" s="1"/>
      <c r="C60" s="1"/>
      <c r="D60" s="1"/>
      <c r="E60" s="1"/>
      <c r="F60" s="1"/>
    </row>
    <row r="61" spans="1:6" ht="24.6">
      <c r="A61" s="1"/>
      <c r="B61" s="1"/>
      <c r="C61" s="1"/>
      <c r="D61" s="1"/>
      <c r="E61" s="1"/>
      <c r="F61" s="1"/>
    </row>
    <row r="62" spans="1:6" ht="24.6">
      <c r="A62" s="1"/>
      <c r="B62" s="1"/>
      <c r="C62" s="1"/>
      <c r="D62" s="1"/>
      <c r="E62" s="1"/>
      <c r="F62" s="1"/>
    </row>
    <row r="63" spans="1:6" ht="24.6">
      <c r="A63" s="1"/>
      <c r="B63" s="1"/>
      <c r="C63" s="1"/>
      <c r="D63" s="1"/>
      <c r="E63" s="1"/>
      <c r="F63" s="1"/>
    </row>
    <row r="64" spans="1:6" ht="24.6">
      <c r="A64" s="1"/>
      <c r="B64" s="1"/>
      <c r="C64" s="1"/>
      <c r="D64" s="1"/>
      <c r="E64" s="1"/>
      <c r="F64" s="1"/>
    </row>
    <row r="65" spans="1:6" ht="24.6">
      <c r="A65" s="1"/>
      <c r="B65" s="1"/>
      <c r="C65" s="1"/>
      <c r="D65" s="1"/>
      <c r="E65" s="1"/>
      <c r="F65" s="1"/>
    </row>
    <row r="66" spans="1:6" ht="24.6">
      <c r="A66" s="1"/>
      <c r="B66" s="1"/>
      <c r="C66" s="1"/>
      <c r="D66" s="1"/>
      <c r="E66" s="1"/>
      <c r="F66" s="1"/>
    </row>
    <row r="67" spans="1:6" ht="24.6">
      <c r="A67" s="1"/>
      <c r="B67" s="1"/>
      <c r="C67" s="1"/>
      <c r="D67" s="1"/>
      <c r="E67" s="1"/>
      <c r="F67" s="1"/>
    </row>
    <row r="68" spans="1:6" ht="24.6">
      <c r="A68" s="1"/>
      <c r="B68" s="1"/>
      <c r="C68" s="1"/>
      <c r="D68" s="1"/>
      <c r="E68" s="1"/>
      <c r="F68" s="1"/>
    </row>
    <row r="69" spans="1:6" ht="24.6">
      <c r="A69" s="1"/>
      <c r="B69" s="1"/>
      <c r="C69" s="1"/>
      <c r="D69" s="1"/>
      <c r="E69" s="1"/>
      <c r="F69" s="1"/>
    </row>
    <row r="70" spans="1:6" ht="24.6">
      <c r="A70" s="1"/>
      <c r="B70" s="1"/>
      <c r="C70" s="1"/>
      <c r="D70" s="1"/>
      <c r="E70" s="1"/>
      <c r="F70" s="1"/>
    </row>
  </sheetData>
  <mergeCells count="3">
    <mergeCell ref="A1:F1"/>
    <mergeCell ref="A31:C31"/>
    <mergeCell ref="D38:F38"/>
  </mergeCells>
  <hyperlinks>
    <hyperlink ref="G1" location="'6.จัดการเรียนการสอนบัณฑิต'!A1" display="โครงการจัดการเรียนการสอน"/>
  </hyperlinks>
  <pageMargins left="3.937007874015748E-2" right="3.937007874015748E-2" top="0.74803149606299213" bottom="0.74803149606299213" header="0.31496062992125984" footer="0.31496062992125984"/>
  <pageSetup paperSize="9" orientation="landscape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"/>
  <sheetViews>
    <sheetView topLeftCell="A16" workbookViewId="0">
      <selection activeCell="J18" sqref="J18"/>
    </sheetView>
  </sheetViews>
  <sheetFormatPr defaultRowHeight="14.4"/>
  <cols>
    <col min="1" max="1" width="13.44140625" customWidth="1"/>
    <col min="2" max="2" width="15.88671875" customWidth="1"/>
    <col min="3" max="3" width="70.33203125" customWidth="1"/>
    <col min="4" max="4" width="12.88671875" customWidth="1"/>
    <col min="5" max="5" width="13.88671875" customWidth="1"/>
    <col min="6" max="6" width="12.77734375" customWidth="1"/>
  </cols>
  <sheetData>
    <row r="1" spans="1:8" ht="24" customHeight="1">
      <c r="A1" s="134" t="s">
        <v>84</v>
      </c>
      <c r="B1" s="135"/>
      <c r="C1" s="135"/>
      <c r="D1" s="135"/>
      <c r="E1" s="135"/>
      <c r="F1" s="135"/>
      <c r="G1" s="6" t="s">
        <v>28</v>
      </c>
      <c r="H1" s="10"/>
    </row>
    <row r="2" spans="1:8" ht="24" customHeight="1">
      <c r="A2" s="42"/>
      <c r="B2" s="42"/>
      <c r="C2" s="43" t="s">
        <v>23</v>
      </c>
      <c r="D2" s="42"/>
      <c r="E2" s="42"/>
      <c r="F2" s="42"/>
      <c r="G2" s="6"/>
    </row>
    <row r="3" spans="1:8" ht="24.6">
      <c r="A3" s="21" t="s">
        <v>20</v>
      </c>
      <c r="B3" s="21" t="s">
        <v>21</v>
      </c>
      <c r="C3" s="21" t="s">
        <v>6</v>
      </c>
      <c r="D3" s="21" t="s">
        <v>14</v>
      </c>
      <c r="E3" s="21" t="s">
        <v>7</v>
      </c>
      <c r="F3" s="21" t="s">
        <v>4</v>
      </c>
    </row>
    <row r="4" spans="1:8" ht="24.6">
      <c r="A4" s="11"/>
      <c r="B4" s="11"/>
      <c r="C4" s="12" t="s">
        <v>84</v>
      </c>
      <c r="D4" s="13">
        <v>178500</v>
      </c>
      <c r="E4" s="13"/>
      <c r="F4" s="13">
        <f>D4-E4</f>
        <v>178500</v>
      </c>
    </row>
    <row r="5" spans="1:8" ht="72" customHeight="1">
      <c r="A5" s="14" t="s">
        <v>116</v>
      </c>
      <c r="B5" s="14" t="s">
        <v>117</v>
      </c>
      <c r="C5" s="15" t="s">
        <v>120</v>
      </c>
      <c r="D5" s="13"/>
      <c r="E5" s="13">
        <v>9000</v>
      </c>
      <c r="F5" s="13">
        <f>F4+D5-E5</f>
        <v>169500</v>
      </c>
    </row>
    <row r="6" spans="1:8" ht="98.4">
      <c r="A6" s="14"/>
      <c r="B6" s="14" t="s">
        <v>118</v>
      </c>
      <c r="C6" s="15" t="s">
        <v>121</v>
      </c>
      <c r="D6" s="13"/>
      <c r="E6" s="13">
        <v>9000</v>
      </c>
      <c r="F6" s="13">
        <f t="shared" ref="F6:F18" si="0">F5+D6-E6</f>
        <v>160500</v>
      </c>
    </row>
    <row r="7" spans="1:8" ht="98.4">
      <c r="A7" s="14"/>
      <c r="B7" s="14" t="s">
        <v>119</v>
      </c>
      <c r="C7" s="15" t="s">
        <v>122</v>
      </c>
      <c r="D7" s="13"/>
      <c r="E7" s="13">
        <v>9000</v>
      </c>
      <c r="F7" s="13">
        <f t="shared" si="0"/>
        <v>151500</v>
      </c>
    </row>
    <row r="8" spans="1:8" ht="98.4">
      <c r="A8" s="14" t="s">
        <v>228</v>
      </c>
      <c r="B8" s="14" t="s">
        <v>229</v>
      </c>
      <c r="C8" s="15" t="s">
        <v>222</v>
      </c>
      <c r="D8" s="13"/>
      <c r="E8" s="13">
        <v>31500</v>
      </c>
      <c r="F8" s="13">
        <f t="shared" si="0"/>
        <v>120000</v>
      </c>
    </row>
    <row r="9" spans="1:8" ht="98.4">
      <c r="A9" s="14" t="s">
        <v>242</v>
      </c>
      <c r="B9" s="14" t="s">
        <v>240</v>
      </c>
      <c r="C9" s="15" t="s">
        <v>238</v>
      </c>
      <c r="D9" s="13"/>
      <c r="E9" s="13">
        <v>9000</v>
      </c>
      <c r="F9" s="13">
        <f t="shared" si="0"/>
        <v>111000</v>
      </c>
    </row>
    <row r="10" spans="1:8" ht="98.4">
      <c r="A10" s="14" t="s">
        <v>242</v>
      </c>
      <c r="B10" s="14" t="s">
        <v>241</v>
      </c>
      <c r="C10" s="15" t="s">
        <v>239</v>
      </c>
      <c r="D10" s="13"/>
      <c r="E10" s="13">
        <v>11250</v>
      </c>
      <c r="F10" s="13">
        <f t="shared" si="0"/>
        <v>99750</v>
      </c>
    </row>
    <row r="11" spans="1:8" ht="98.4">
      <c r="A11" s="14" t="s">
        <v>272</v>
      </c>
      <c r="B11" s="14" t="s">
        <v>289</v>
      </c>
      <c r="C11" s="15" t="s">
        <v>288</v>
      </c>
      <c r="D11" s="13"/>
      <c r="E11" s="13">
        <v>13500</v>
      </c>
      <c r="F11" s="13">
        <f t="shared" si="0"/>
        <v>86250</v>
      </c>
    </row>
    <row r="12" spans="1:8" ht="98.4">
      <c r="A12" s="14" t="s">
        <v>315</v>
      </c>
      <c r="B12" s="14" t="s">
        <v>316</v>
      </c>
      <c r="C12" s="15" t="s">
        <v>314</v>
      </c>
      <c r="D12" s="13"/>
      <c r="E12" s="13">
        <v>18000</v>
      </c>
      <c r="F12" s="13">
        <f t="shared" si="0"/>
        <v>68250</v>
      </c>
    </row>
    <row r="13" spans="1:8" ht="98.4">
      <c r="A13" s="14" t="s">
        <v>318</v>
      </c>
      <c r="B13" s="14" t="s">
        <v>319</v>
      </c>
      <c r="C13" s="15" t="s">
        <v>317</v>
      </c>
      <c r="D13" s="13"/>
      <c r="E13" s="13">
        <v>18000</v>
      </c>
      <c r="F13" s="13">
        <f t="shared" si="0"/>
        <v>50250</v>
      </c>
    </row>
    <row r="14" spans="1:8" ht="98.4">
      <c r="A14" s="14" t="s">
        <v>326</v>
      </c>
      <c r="B14" s="14" t="s">
        <v>327</v>
      </c>
      <c r="C14" s="15" t="s">
        <v>325</v>
      </c>
      <c r="D14" s="13"/>
      <c r="E14" s="13">
        <v>10000</v>
      </c>
      <c r="F14" s="13">
        <f t="shared" si="0"/>
        <v>40250</v>
      </c>
    </row>
    <row r="15" spans="1:8" ht="98.4">
      <c r="A15" s="14" t="s">
        <v>337</v>
      </c>
      <c r="B15" s="14" t="s">
        <v>340</v>
      </c>
      <c r="C15" s="15" t="s">
        <v>339</v>
      </c>
      <c r="D15" s="13"/>
      <c r="E15" s="13">
        <v>13500</v>
      </c>
      <c r="F15" s="13">
        <f t="shared" si="0"/>
        <v>26750</v>
      </c>
    </row>
    <row r="16" spans="1:8" ht="72" customHeight="1">
      <c r="A16" s="14" t="s">
        <v>342</v>
      </c>
      <c r="B16" s="14" t="s">
        <v>345</v>
      </c>
      <c r="C16" s="15" t="s">
        <v>344</v>
      </c>
      <c r="D16" s="13"/>
      <c r="E16" s="13">
        <v>10000</v>
      </c>
      <c r="F16" s="13">
        <f t="shared" si="0"/>
        <v>16750</v>
      </c>
    </row>
    <row r="17" spans="1:6" ht="98.4">
      <c r="A17" s="14" t="s">
        <v>376</v>
      </c>
      <c r="B17" s="14" t="s">
        <v>377</v>
      </c>
      <c r="C17" s="15" t="s">
        <v>375</v>
      </c>
      <c r="D17" s="13"/>
      <c r="E17" s="13">
        <v>12000</v>
      </c>
      <c r="F17" s="13">
        <f t="shared" si="0"/>
        <v>4750</v>
      </c>
    </row>
    <row r="18" spans="1:6" ht="123">
      <c r="A18" s="14" t="s">
        <v>464</v>
      </c>
      <c r="B18" s="14" t="s">
        <v>465</v>
      </c>
      <c r="C18" s="15" t="s">
        <v>467</v>
      </c>
      <c r="D18" s="13"/>
      <c r="E18" s="13">
        <v>4750</v>
      </c>
      <c r="F18" s="13">
        <f t="shared" si="0"/>
        <v>0</v>
      </c>
    </row>
    <row r="19" spans="1:6" ht="24.6">
      <c r="A19" s="126" t="s">
        <v>5</v>
      </c>
      <c r="B19" s="127"/>
      <c r="C19" s="128"/>
      <c r="D19" s="38">
        <f>SUM(D4:D10)</f>
        <v>178500</v>
      </c>
      <c r="E19" s="38">
        <f>SUM(E4:E18)</f>
        <v>178500</v>
      </c>
      <c r="F19" s="38">
        <f>D19-E19</f>
        <v>0</v>
      </c>
    </row>
    <row r="20" spans="1:6" ht="24.6">
      <c r="A20" s="20"/>
      <c r="B20" s="20"/>
      <c r="C20" s="20"/>
      <c r="D20" s="20"/>
      <c r="E20" s="20"/>
      <c r="F20" s="20"/>
    </row>
    <row r="21" spans="1:6" ht="24.6">
      <c r="A21" s="1"/>
      <c r="B21" s="1"/>
      <c r="C21" s="1" t="s">
        <v>16</v>
      </c>
      <c r="D21" s="1"/>
      <c r="E21" s="1"/>
      <c r="F21" s="1"/>
    </row>
    <row r="22" spans="1:6" ht="24.6">
      <c r="A22" s="1"/>
      <c r="B22" s="1"/>
      <c r="C22" s="1"/>
      <c r="D22" s="1"/>
      <c r="E22" s="1"/>
      <c r="F22" s="1"/>
    </row>
    <row r="23" spans="1:6" ht="24.6">
      <c r="A23" s="1"/>
      <c r="B23" s="1"/>
      <c r="C23" s="1"/>
      <c r="D23" s="1"/>
      <c r="E23" s="1"/>
      <c r="F23" s="1"/>
    </row>
    <row r="24" spans="1:6" ht="24.6">
      <c r="A24" s="1"/>
      <c r="B24" s="1"/>
      <c r="C24" s="1" t="s">
        <v>15</v>
      </c>
      <c r="D24" s="1"/>
      <c r="E24" s="1"/>
      <c r="F24" s="1"/>
    </row>
    <row r="25" spans="1:6" ht="24.6">
      <c r="A25" s="1"/>
      <c r="B25" s="1"/>
      <c r="C25" s="1"/>
      <c r="D25" s="1"/>
      <c r="E25" s="1"/>
      <c r="F25" s="1"/>
    </row>
    <row r="26" spans="1:6" ht="24.6">
      <c r="A26" s="1"/>
      <c r="B26" s="1"/>
      <c r="C26" s="1"/>
      <c r="D26" s="1"/>
      <c r="E26" s="1"/>
      <c r="F26" s="1"/>
    </row>
    <row r="27" spans="1:6" ht="24.6">
      <c r="A27" s="1"/>
      <c r="B27" s="1"/>
      <c r="C27" s="1"/>
      <c r="D27" s="1"/>
      <c r="E27" s="1"/>
      <c r="F27" s="1"/>
    </row>
    <row r="28" spans="1:6" ht="24.6">
      <c r="A28" s="1"/>
      <c r="B28" s="1"/>
      <c r="C28" s="1"/>
      <c r="D28" s="1"/>
      <c r="E28" s="1"/>
      <c r="F28" s="1"/>
    </row>
    <row r="29" spans="1:6" ht="24.6">
      <c r="A29" s="1"/>
      <c r="B29" s="1"/>
      <c r="C29" s="1"/>
      <c r="D29" s="1"/>
      <c r="E29" s="1"/>
      <c r="F29" s="1"/>
    </row>
    <row r="30" spans="1:6" ht="24.6">
      <c r="A30" s="1"/>
      <c r="B30" s="1"/>
      <c r="C30" s="1"/>
      <c r="D30" s="1"/>
      <c r="E30" s="1"/>
      <c r="F30" s="1"/>
    </row>
    <row r="31" spans="1:6" ht="24.6">
      <c r="A31" s="1"/>
      <c r="B31" s="1"/>
      <c r="C31" s="1"/>
      <c r="D31" s="1"/>
      <c r="E31" s="1"/>
      <c r="F31" s="1"/>
    </row>
    <row r="32" spans="1:6" ht="24.6">
      <c r="A32" s="1"/>
      <c r="B32" s="1"/>
      <c r="C32" s="1"/>
      <c r="D32" s="1"/>
      <c r="E32" s="1"/>
      <c r="F32" s="1"/>
    </row>
    <row r="33" spans="1:6" ht="24.6">
      <c r="A33" s="1"/>
      <c r="B33" s="1"/>
      <c r="C33" s="1"/>
      <c r="D33" s="1"/>
      <c r="E33" s="1"/>
      <c r="F33" s="1"/>
    </row>
    <row r="34" spans="1:6" ht="24.6">
      <c r="A34" s="1"/>
      <c r="B34" s="1"/>
      <c r="C34" s="1"/>
      <c r="D34" s="1"/>
      <c r="E34" s="1"/>
      <c r="F34" s="1"/>
    </row>
    <row r="35" spans="1:6" ht="24.6">
      <c r="A35" s="1"/>
      <c r="B35" s="1"/>
      <c r="C35" s="1"/>
      <c r="D35" s="1"/>
      <c r="E35" s="1"/>
      <c r="F35" s="1"/>
    </row>
    <row r="36" spans="1:6" ht="24.6">
      <c r="A36" s="1"/>
      <c r="B36" s="1"/>
      <c r="C36" s="1"/>
      <c r="D36" s="1"/>
      <c r="E36" s="1"/>
      <c r="F36" s="1"/>
    </row>
    <row r="37" spans="1:6" ht="24.6">
      <c r="A37" s="1"/>
      <c r="B37" s="1"/>
      <c r="C37" s="1"/>
      <c r="D37" s="1"/>
      <c r="E37" s="1"/>
      <c r="F37" s="1"/>
    </row>
    <row r="38" spans="1:6" ht="24.6">
      <c r="A38" s="1"/>
      <c r="B38" s="1"/>
      <c r="C38" s="1"/>
      <c r="D38" s="1"/>
      <c r="E38" s="1"/>
      <c r="F38" s="1"/>
    </row>
    <row r="39" spans="1:6" ht="24.6">
      <c r="A39" s="1"/>
      <c r="B39" s="1"/>
      <c r="C39" s="1"/>
      <c r="D39" s="1"/>
      <c r="E39" s="1"/>
      <c r="F39" s="1"/>
    </row>
    <row r="40" spans="1:6" ht="24.6">
      <c r="A40" s="1"/>
      <c r="B40" s="1"/>
      <c r="C40" s="1"/>
      <c r="D40" s="1"/>
      <c r="E40" s="1"/>
      <c r="F40" s="1"/>
    </row>
    <row r="41" spans="1:6" ht="24.6">
      <c r="A41" s="1"/>
      <c r="B41" s="1"/>
      <c r="C41" s="1"/>
      <c r="D41" s="1"/>
      <c r="E41" s="1"/>
      <c r="F41" s="1"/>
    </row>
    <row r="42" spans="1:6" ht="24.6">
      <c r="A42" s="1"/>
      <c r="B42" s="1"/>
      <c r="C42" s="1"/>
      <c r="D42" s="1"/>
      <c r="E42" s="1"/>
      <c r="F42" s="1"/>
    </row>
    <row r="43" spans="1:6" ht="24.6">
      <c r="A43" s="1"/>
      <c r="B43" s="1"/>
      <c r="C43" s="1"/>
      <c r="D43" s="1"/>
      <c r="E43" s="1"/>
      <c r="F43" s="1"/>
    </row>
    <row r="44" spans="1:6" ht="24.6">
      <c r="A44" s="1"/>
      <c r="B44" s="1"/>
      <c r="C44" s="1"/>
      <c r="D44" s="1"/>
      <c r="E44" s="1"/>
      <c r="F44" s="1"/>
    </row>
    <row r="45" spans="1:6" ht="24.6">
      <c r="A45" s="1"/>
      <c r="B45" s="1"/>
      <c r="C45" s="1"/>
      <c r="D45" s="1"/>
      <c r="E45" s="1"/>
      <c r="F45" s="1"/>
    </row>
    <row r="46" spans="1:6" ht="24.6">
      <c r="A46" s="1"/>
      <c r="B46" s="1"/>
      <c r="C46" s="1"/>
      <c r="D46" s="1"/>
      <c r="E46" s="1"/>
      <c r="F46" s="1"/>
    </row>
    <row r="47" spans="1:6" ht="24.6">
      <c r="A47" s="1"/>
      <c r="B47" s="1"/>
      <c r="C47" s="1"/>
      <c r="D47" s="1"/>
      <c r="E47" s="1"/>
      <c r="F47" s="1"/>
    </row>
    <row r="48" spans="1:6" ht="24.6">
      <c r="A48" s="1"/>
      <c r="B48" s="1"/>
      <c r="C48" s="1"/>
      <c r="D48" s="1"/>
      <c r="E48" s="1"/>
      <c r="F48" s="1"/>
    </row>
    <row r="49" spans="1:6" ht="24.6">
      <c r="A49" s="1"/>
      <c r="B49" s="1"/>
      <c r="C49" s="1"/>
      <c r="D49" s="1"/>
      <c r="E49" s="1"/>
      <c r="F49" s="1"/>
    </row>
    <row r="50" spans="1:6" ht="24.6">
      <c r="A50" s="1"/>
      <c r="B50" s="1"/>
      <c r="C50" s="1"/>
      <c r="D50" s="1"/>
      <c r="E50" s="1"/>
      <c r="F50" s="1"/>
    </row>
    <row r="51" spans="1:6" ht="24.6">
      <c r="A51" s="1"/>
      <c r="B51" s="1"/>
      <c r="C51" s="1"/>
      <c r="D51" s="1"/>
      <c r="E51" s="1"/>
      <c r="F51" s="1"/>
    </row>
    <row r="52" spans="1:6" ht="24.6">
      <c r="A52" s="1"/>
      <c r="B52" s="1"/>
      <c r="C52" s="1"/>
      <c r="D52" s="1"/>
      <c r="E52" s="1"/>
      <c r="F52" s="1"/>
    </row>
    <row r="53" spans="1:6" ht="24.6">
      <c r="A53" s="1"/>
      <c r="B53" s="1"/>
      <c r="C53" s="1"/>
      <c r="D53" s="1"/>
      <c r="E53" s="1"/>
      <c r="F53" s="1"/>
    </row>
    <row r="54" spans="1:6" ht="24.6">
      <c r="A54" s="1"/>
      <c r="B54" s="1"/>
      <c r="C54" s="1"/>
      <c r="D54" s="1"/>
      <c r="E54" s="1"/>
      <c r="F54" s="1"/>
    </row>
    <row r="55" spans="1:6" ht="24.6">
      <c r="A55" s="1"/>
      <c r="B55" s="1"/>
      <c r="C55" s="1"/>
      <c r="D55" s="1"/>
      <c r="E55" s="1"/>
      <c r="F55" s="1"/>
    </row>
    <row r="56" spans="1:6" ht="24.6">
      <c r="A56" s="1"/>
      <c r="B56" s="1"/>
      <c r="C56" s="1"/>
      <c r="D56" s="1"/>
      <c r="E56" s="1"/>
      <c r="F56" s="1"/>
    </row>
    <row r="57" spans="1:6" ht="24.6">
      <c r="A57" s="1"/>
      <c r="B57" s="1"/>
      <c r="C57" s="1"/>
      <c r="D57" s="1"/>
      <c r="E57" s="1"/>
      <c r="F57" s="1"/>
    </row>
    <row r="58" spans="1:6" ht="24.6">
      <c r="A58" s="1"/>
      <c r="B58" s="1"/>
      <c r="C58" s="1"/>
      <c r="D58" s="1"/>
      <c r="E58" s="1"/>
      <c r="F58" s="1"/>
    </row>
  </sheetData>
  <mergeCells count="2">
    <mergeCell ref="A1:F1"/>
    <mergeCell ref="A19:C19"/>
  </mergeCells>
  <hyperlinks>
    <hyperlink ref="G1" location="'6.จัดการเรียนการสอนบัณฑิต'!A1" display="โครงการจัดการเรียนการสอน"/>
  </hyperlinks>
  <pageMargins left="3.937007874015748E-2" right="3.937007874015748E-2" top="0.74803149606299213" bottom="0.74803149606299213" header="0.31496062992125984" footer="0.31496062992125984"/>
  <pageSetup paperSize="9" orientation="landscape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3"/>
  <sheetViews>
    <sheetView tabSelected="1" workbookViewId="0">
      <selection activeCell="I4" sqref="I4"/>
    </sheetView>
  </sheetViews>
  <sheetFormatPr defaultColWidth="9.109375" defaultRowHeight="24.6"/>
  <cols>
    <col min="1" max="1" width="15.5546875" style="3" customWidth="1"/>
    <col min="2" max="2" width="68.33203125" style="1" customWidth="1"/>
    <col min="3" max="3" width="15.77734375" style="4" customWidth="1"/>
    <col min="4" max="4" width="15.33203125" style="4" customWidth="1"/>
    <col min="5" max="5" width="14.6640625" style="4" customWidth="1"/>
    <col min="6" max="16384" width="9.109375" style="1"/>
  </cols>
  <sheetData>
    <row r="1" spans="1:6" ht="24" customHeight="1">
      <c r="A1" s="129" t="s">
        <v>92</v>
      </c>
      <c r="B1" s="130"/>
      <c r="C1" s="130"/>
      <c r="D1" s="130"/>
      <c r="E1" s="130"/>
      <c r="F1" s="6" t="s">
        <v>8</v>
      </c>
    </row>
    <row r="2" spans="1:6">
      <c r="A2" s="117" t="s">
        <v>86</v>
      </c>
      <c r="B2" s="117"/>
      <c r="C2" s="117"/>
      <c r="D2" s="117"/>
      <c r="E2" s="117"/>
    </row>
    <row r="3" spans="1:6" s="2" customFormat="1" ht="30" customHeight="1">
      <c r="A3" s="28" t="s">
        <v>0</v>
      </c>
      <c r="B3" s="28" t="s">
        <v>1</v>
      </c>
      <c r="C3" s="29" t="s">
        <v>18</v>
      </c>
      <c r="D3" s="29" t="s">
        <v>3</v>
      </c>
      <c r="E3" s="29" t="s">
        <v>4</v>
      </c>
    </row>
    <row r="4" spans="1:6">
      <c r="A4" s="30"/>
      <c r="B4" s="31" t="s">
        <v>19</v>
      </c>
      <c r="C4" s="32">
        <v>625300</v>
      </c>
      <c r="D4" s="32"/>
      <c r="E4" s="32">
        <f>C4-D4</f>
        <v>625300</v>
      </c>
    </row>
    <row r="5" spans="1:6" ht="24" customHeight="1">
      <c r="A5" s="61" t="s">
        <v>87</v>
      </c>
      <c r="B5" s="15" t="s">
        <v>89</v>
      </c>
      <c r="C5" s="34">
        <f>'กิจกรรมที่ 7.1'!D62</f>
        <v>537540</v>
      </c>
      <c r="D5" s="34">
        <f>'กิจกรรมที่ 7.1'!E62</f>
        <v>491490</v>
      </c>
      <c r="E5" s="34">
        <f>C5-D5</f>
        <v>46050</v>
      </c>
    </row>
    <row r="6" spans="1:6" ht="48" customHeight="1">
      <c r="A6" s="61" t="s">
        <v>88</v>
      </c>
      <c r="B6" s="35" t="s">
        <v>91</v>
      </c>
      <c r="C6" s="34">
        <f>'กิจกรรมที่ 7.2'!D18</f>
        <v>87760</v>
      </c>
      <c r="D6" s="34">
        <f>'กิจกรรมที่ 7.2'!E18</f>
        <v>84108</v>
      </c>
      <c r="E6" s="34">
        <f t="shared" ref="E6" si="0">C6-D6</f>
        <v>3652</v>
      </c>
    </row>
    <row r="7" spans="1:6">
      <c r="A7" s="118" t="s">
        <v>5</v>
      </c>
      <c r="B7" s="119"/>
      <c r="C7" s="32">
        <f>SUM(C5:C6)</f>
        <v>625300</v>
      </c>
      <c r="D7" s="32">
        <f>SUM(D5:D6)</f>
        <v>575598</v>
      </c>
      <c r="E7" s="32">
        <f t="shared" ref="E7" si="1">C7-D7</f>
        <v>49702</v>
      </c>
    </row>
    <row r="9" spans="1:6">
      <c r="A9" s="137" t="s">
        <v>24</v>
      </c>
      <c r="B9" s="137"/>
    </row>
    <row r="10" spans="1:6">
      <c r="B10" s="111" t="s">
        <v>574</v>
      </c>
      <c r="C10" s="41">
        <f>C5</f>
        <v>537540</v>
      </c>
      <c r="D10" s="41">
        <f>D5+33600</f>
        <v>525090</v>
      </c>
      <c r="E10" s="41">
        <f>C10-D10</f>
        <v>12450</v>
      </c>
    </row>
    <row r="11" spans="1:6">
      <c r="B11" s="111" t="s">
        <v>575</v>
      </c>
      <c r="C11" s="41">
        <f>C6</f>
        <v>87760</v>
      </c>
      <c r="D11" s="41">
        <f>D6</f>
        <v>84108</v>
      </c>
      <c r="E11" s="41">
        <f>C11-D11</f>
        <v>3652</v>
      </c>
    </row>
    <row r="12" spans="1:6">
      <c r="B12" s="110"/>
      <c r="C12" s="41"/>
      <c r="D12" s="41"/>
      <c r="E12" s="41">
        <f>SUM(E10:E11)</f>
        <v>16102</v>
      </c>
    </row>
    <row r="13" spans="1:6">
      <c r="B13" s="8"/>
    </row>
  </sheetData>
  <mergeCells count="4">
    <mergeCell ref="A1:E1"/>
    <mergeCell ref="A2:E2"/>
    <mergeCell ref="A7:B7"/>
    <mergeCell ref="A9:B9"/>
  </mergeCells>
  <hyperlinks>
    <hyperlink ref="F1" location="หน้าหลัก!A1" display="หน้าหลัก"/>
    <hyperlink ref="A5" location="'กิจกรรมที่ 7.1'!A1" display="กิจกรรมที่ 7.1"/>
    <hyperlink ref="A6" location="'กิจกรรมที่ 7.2'!A1" display="กิจกรรมที่ 7.2"/>
  </hyperlinks>
  <pageMargins left="0.7" right="0.7" top="0.75" bottom="0.75" header="0.3" footer="0.3"/>
  <pageSetup paperSize="9" orientation="landscape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opLeftCell="A58" workbookViewId="0">
      <selection activeCell="A59" sqref="A59:C59"/>
    </sheetView>
  </sheetViews>
  <sheetFormatPr defaultRowHeight="14.4"/>
  <cols>
    <col min="1" max="1" width="13.44140625" customWidth="1"/>
    <col min="2" max="2" width="15.88671875" customWidth="1"/>
    <col min="3" max="3" width="70.33203125" customWidth="1"/>
    <col min="4" max="4" width="12.88671875" customWidth="1"/>
    <col min="5" max="5" width="13.88671875" customWidth="1"/>
    <col min="6" max="6" width="12.77734375" customWidth="1"/>
  </cols>
  <sheetData>
    <row r="1" spans="1:7" ht="24" customHeight="1">
      <c r="A1" s="134" t="s">
        <v>89</v>
      </c>
      <c r="B1" s="135"/>
      <c r="C1" s="135"/>
      <c r="D1" s="135"/>
      <c r="E1" s="135"/>
      <c r="F1" s="135"/>
      <c r="G1" s="6" t="s">
        <v>34</v>
      </c>
    </row>
    <row r="2" spans="1:7" ht="24" customHeight="1">
      <c r="A2" s="55"/>
      <c r="B2" s="55"/>
      <c r="C2" s="55" t="s">
        <v>90</v>
      </c>
      <c r="D2" s="55"/>
      <c r="E2" s="55"/>
      <c r="F2" s="55"/>
      <c r="G2" s="6"/>
    </row>
    <row r="3" spans="1:7" ht="24.6">
      <c r="A3" s="21" t="s">
        <v>20</v>
      </c>
      <c r="B3" s="21" t="s">
        <v>21</v>
      </c>
      <c r="C3" s="21" t="s">
        <v>6</v>
      </c>
      <c r="D3" s="21" t="s">
        <v>14</v>
      </c>
      <c r="E3" s="21" t="s">
        <v>7</v>
      </c>
      <c r="F3" s="21" t="s">
        <v>4</v>
      </c>
    </row>
    <row r="4" spans="1:7" ht="24.6">
      <c r="A4" s="11"/>
      <c r="B4" s="11"/>
      <c r="C4" s="12" t="s">
        <v>89</v>
      </c>
      <c r="D4" s="13">
        <v>537540</v>
      </c>
      <c r="E4" s="13"/>
      <c r="F4" s="13">
        <f>D4-E4</f>
        <v>537540</v>
      </c>
    </row>
    <row r="5" spans="1:7" ht="72" customHeight="1">
      <c r="A5" s="14" t="s">
        <v>127</v>
      </c>
      <c r="B5" s="14" t="s">
        <v>129</v>
      </c>
      <c r="C5" s="15" t="s">
        <v>128</v>
      </c>
      <c r="D5" s="13"/>
      <c r="E5" s="13">
        <v>3200</v>
      </c>
      <c r="F5" s="13">
        <f>F4-E5</f>
        <v>534340</v>
      </c>
    </row>
    <row r="6" spans="1:7" ht="72" customHeight="1">
      <c r="A6" s="14" t="s">
        <v>130</v>
      </c>
      <c r="B6" s="14" t="s">
        <v>131</v>
      </c>
      <c r="C6" s="15" t="s">
        <v>132</v>
      </c>
      <c r="D6" s="13"/>
      <c r="E6" s="13">
        <v>3200</v>
      </c>
      <c r="F6" s="13">
        <f t="shared" ref="F6:F61" si="0">F5-E6</f>
        <v>531140</v>
      </c>
    </row>
    <row r="7" spans="1:7" ht="72" customHeight="1">
      <c r="A7" s="14" t="s">
        <v>134</v>
      </c>
      <c r="B7" s="14" t="s">
        <v>135</v>
      </c>
      <c r="C7" s="15" t="s">
        <v>133</v>
      </c>
      <c r="D7" s="13"/>
      <c r="E7" s="13">
        <v>3200</v>
      </c>
      <c r="F7" s="13">
        <f t="shared" si="0"/>
        <v>527940</v>
      </c>
    </row>
    <row r="8" spans="1:7" ht="72" customHeight="1">
      <c r="A8" s="14" t="s">
        <v>140</v>
      </c>
      <c r="B8" s="14" t="s">
        <v>141</v>
      </c>
      <c r="C8" s="15" t="s">
        <v>143</v>
      </c>
      <c r="D8" s="13"/>
      <c r="E8" s="13">
        <v>4000</v>
      </c>
      <c r="F8" s="13">
        <f t="shared" si="0"/>
        <v>523940</v>
      </c>
    </row>
    <row r="9" spans="1:7" ht="72" customHeight="1">
      <c r="A9" s="14" t="s">
        <v>140</v>
      </c>
      <c r="B9" s="14" t="s">
        <v>142</v>
      </c>
      <c r="C9" s="15" t="s">
        <v>144</v>
      </c>
      <c r="D9" s="13"/>
      <c r="E9" s="13">
        <v>3200</v>
      </c>
      <c r="F9" s="13">
        <f t="shared" si="0"/>
        <v>520740</v>
      </c>
    </row>
    <row r="10" spans="1:7" ht="72" customHeight="1">
      <c r="A10" s="14" t="s">
        <v>140</v>
      </c>
      <c r="B10" s="14" t="s">
        <v>145</v>
      </c>
      <c r="C10" s="15" t="s">
        <v>146</v>
      </c>
      <c r="D10" s="13"/>
      <c r="E10" s="13">
        <v>3200</v>
      </c>
      <c r="F10" s="13">
        <f t="shared" si="0"/>
        <v>517540</v>
      </c>
    </row>
    <row r="11" spans="1:7" ht="72" customHeight="1">
      <c r="A11" s="14" t="s">
        <v>140</v>
      </c>
      <c r="B11" s="14" t="s">
        <v>148</v>
      </c>
      <c r="C11" s="15" t="s">
        <v>147</v>
      </c>
      <c r="D11" s="13"/>
      <c r="E11" s="13">
        <v>3200</v>
      </c>
      <c r="F11" s="13">
        <f t="shared" si="0"/>
        <v>514340</v>
      </c>
    </row>
    <row r="12" spans="1:7" ht="72" customHeight="1">
      <c r="A12" s="14" t="s">
        <v>163</v>
      </c>
      <c r="B12" s="14" t="s">
        <v>164</v>
      </c>
      <c r="C12" s="15" t="s">
        <v>166</v>
      </c>
      <c r="D12" s="13"/>
      <c r="E12" s="13">
        <v>3200</v>
      </c>
      <c r="F12" s="13">
        <f t="shared" si="0"/>
        <v>511140</v>
      </c>
    </row>
    <row r="13" spans="1:7" ht="72" customHeight="1">
      <c r="A13" s="14" t="s">
        <v>163</v>
      </c>
      <c r="B13" s="14" t="s">
        <v>165</v>
      </c>
      <c r="C13" s="15" t="s">
        <v>167</v>
      </c>
      <c r="D13" s="13"/>
      <c r="E13" s="13">
        <v>6400</v>
      </c>
      <c r="F13" s="13">
        <f t="shared" si="0"/>
        <v>504740</v>
      </c>
    </row>
    <row r="14" spans="1:7" ht="72" customHeight="1">
      <c r="A14" s="14" t="s">
        <v>173</v>
      </c>
      <c r="B14" s="14" t="s">
        <v>163</v>
      </c>
      <c r="C14" s="15" t="s">
        <v>174</v>
      </c>
      <c r="D14" s="13"/>
      <c r="E14" s="13">
        <v>4000</v>
      </c>
      <c r="F14" s="13">
        <f t="shared" si="0"/>
        <v>500740</v>
      </c>
    </row>
    <row r="15" spans="1:7" ht="72" customHeight="1">
      <c r="A15" s="14" t="s">
        <v>175</v>
      </c>
      <c r="B15" s="14" t="s">
        <v>163</v>
      </c>
      <c r="C15" s="15" t="s">
        <v>176</v>
      </c>
      <c r="D15" s="13"/>
      <c r="E15" s="13">
        <v>3200</v>
      </c>
      <c r="F15" s="13">
        <f t="shared" si="0"/>
        <v>497540</v>
      </c>
    </row>
    <row r="16" spans="1:7" ht="72" customHeight="1">
      <c r="A16" s="14" t="s">
        <v>177</v>
      </c>
      <c r="B16" s="14" t="s">
        <v>178</v>
      </c>
      <c r="C16" s="67" t="s">
        <v>179</v>
      </c>
      <c r="D16" s="13"/>
      <c r="E16" s="13">
        <v>3200</v>
      </c>
      <c r="F16" s="13">
        <f t="shared" si="0"/>
        <v>494340</v>
      </c>
    </row>
    <row r="17" spans="1:6" ht="72" customHeight="1">
      <c r="A17" s="14" t="s">
        <v>180</v>
      </c>
      <c r="B17" s="14" t="s">
        <v>181</v>
      </c>
      <c r="C17" s="67" t="s">
        <v>182</v>
      </c>
      <c r="D17" s="13"/>
      <c r="E17" s="13">
        <v>3200</v>
      </c>
      <c r="F17" s="13">
        <f t="shared" si="0"/>
        <v>491140</v>
      </c>
    </row>
    <row r="18" spans="1:6" ht="72" customHeight="1">
      <c r="A18" s="14" t="s">
        <v>183</v>
      </c>
      <c r="B18" s="14" t="s">
        <v>181</v>
      </c>
      <c r="C18" s="67" t="s">
        <v>184</v>
      </c>
      <c r="D18" s="13"/>
      <c r="E18" s="13">
        <v>8000</v>
      </c>
      <c r="F18" s="13">
        <f t="shared" si="0"/>
        <v>483140</v>
      </c>
    </row>
    <row r="19" spans="1:6" ht="72" customHeight="1">
      <c r="A19" s="14" t="s">
        <v>185</v>
      </c>
      <c r="B19" s="14" t="s">
        <v>186</v>
      </c>
      <c r="C19" s="67" t="s">
        <v>187</v>
      </c>
      <c r="D19" s="13"/>
      <c r="E19" s="13">
        <v>5600</v>
      </c>
      <c r="F19" s="13">
        <f t="shared" si="0"/>
        <v>477540</v>
      </c>
    </row>
    <row r="20" spans="1:6" ht="72" customHeight="1">
      <c r="A20" s="14" t="s">
        <v>296</v>
      </c>
      <c r="B20" s="14" t="s">
        <v>297</v>
      </c>
      <c r="C20" s="67" t="s">
        <v>298</v>
      </c>
      <c r="D20" s="13"/>
      <c r="E20" s="13">
        <v>3200</v>
      </c>
      <c r="F20" s="13">
        <f t="shared" si="0"/>
        <v>474340</v>
      </c>
    </row>
    <row r="21" spans="1:6" ht="72" customHeight="1">
      <c r="A21" s="14" t="s">
        <v>209</v>
      </c>
      <c r="B21" s="14" t="s">
        <v>210</v>
      </c>
      <c r="C21" s="67" t="s">
        <v>211</v>
      </c>
      <c r="D21" s="13"/>
      <c r="E21" s="13">
        <v>3200</v>
      </c>
      <c r="F21" s="13">
        <f t="shared" si="0"/>
        <v>471140</v>
      </c>
    </row>
    <row r="22" spans="1:6" ht="72" customHeight="1">
      <c r="A22" s="14" t="s">
        <v>216</v>
      </c>
      <c r="B22" s="14" t="s">
        <v>217</v>
      </c>
      <c r="C22" s="67" t="s">
        <v>213</v>
      </c>
      <c r="D22" s="13"/>
      <c r="E22" s="13">
        <v>2400</v>
      </c>
      <c r="F22" s="13">
        <f t="shared" si="0"/>
        <v>468740</v>
      </c>
    </row>
    <row r="23" spans="1:6" ht="72" customHeight="1">
      <c r="A23" s="14" t="s">
        <v>218</v>
      </c>
      <c r="B23" s="14" t="s">
        <v>217</v>
      </c>
      <c r="C23" s="67" t="s">
        <v>214</v>
      </c>
      <c r="D23" s="13"/>
      <c r="E23" s="13">
        <v>2400</v>
      </c>
      <c r="F23" s="13">
        <f t="shared" si="0"/>
        <v>466340</v>
      </c>
    </row>
    <row r="24" spans="1:6" ht="72" customHeight="1">
      <c r="A24" s="14" t="s">
        <v>219</v>
      </c>
      <c r="B24" s="14" t="s">
        <v>217</v>
      </c>
      <c r="C24" s="67" t="s">
        <v>215</v>
      </c>
      <c r="D24" s="13"/>
      <c r="E24" s="13">
        <v>4000</v>
      </c>
      <c r="F24" s="13">
        <f t="shared" si="0"/>
        <v>462340</v>
      </c>
    </row>
    <row r="25" spans="1:6" ht="72" customHeight="1">
      <c r="A25" s="14" t="s">
        <v>220</v>
      </c>
      <c r="B25" s="14" t="s">
        <v>217</v>
      </c>
      <c r="C25" s="67" t="s">
        <v>221</v>
      </c>
      <c r="D25" s="13"/>
      <c r="E25" s="13">
        <v>9600</v>
      </c>
      <c r="F25" s="13">
        <f t="shared" si="0"/>
        <v>452740</v>
      </c>
    </row>
    <row r="26" spans="1:6" ht="72" customHeight="1">
      <c r="A26" s="14" t="s">
        <v>226</v>
      </c>
      <c r="B26" s="14" t="s">
        <v>224</v>
      </c>
      <c r="C26" s="67" t="s">
        <v>227</v>
      </c>
      <c r="D26" s="13"/>
      <c r="E26" s="13">
        <v>11200</v>
      </c>
      <c r="F26" s="13">
        <f t="shared" si="0"/>
        <v>441540</v>
      </c>
    </row>
    <row r="27" spans="1:6" ht="72" customHeight="1">
      <c r="A27" s="14" t="s">
        <v>231</v>
      </c>
      <c r="B27" s="14" t="s">
        <v>232</v>
      </c>
      <c r="C27" s="67" t="s">
        <v>230</v>
      </c>
      <c r="D27" s="13"/>
      <c r="E27" s="13">
        <v>11200</v>
      </c>
      <c r="F27" s="13">
        <f t="shared" si="0"/>
        <v>430340</v>
      </c>
    </row>
    <row r="28" spans="1:6" ht="72" customHeight="1">
      <c r="A28" s="14" t="s">
        <v>233</v>
      </c>
      <c r="B28" s="14" t="s">
        <v>232</v>
      </c>
      <c r="C28" s="67" t="s">
        <v>234</v>
      </c>
      <c r="D28" s="13"/>
      <c r="E28" s="13">
        <v>6400</v>
      </c>
      <c r="F28" s="13">
        <f t="shared" si="0"/>
        <v>423940</v>
      </c>
    </row>
    <row r="29" spans="1:6" ht="72" customHeight="1">
      <c r="A29" s="14" t="s">
        <v>235</v>
      </c>
      <c r="B29" s="14" t="s">
        <v>236</v>
      </c>
      <c r="C29" s="67" t="s">
        <v>237</v>
      </c>
      <c r="D29" s="13"/>
      <c r="E29" s="13">
        <v>3200</v>
      </c>
      <c r="F29" s="13">
        <f t="shared" si="0"/>
        <v>420740</v>
      </c>
    </row>
    <row r="30" spans="1:6" ht="72" customHeight="1">
      <c r="A30" s="14" t="s">
        <v>294</v>
      </c>
      <c r="B30" s="14" t="s">
        <v>295</v>
      </c>
      <c r="C30" s="67" t="s">
        <v>293</v>
      </c>
      <c r="D30" s="13"/>
      <c r="E30" s="13">
        <v>2400</v>
      </c>
      <c r="F30" s="13">
        <f t="shared" si="0"/>
        <v>418340</v>
      </c>
    </row>
    <row r="31" spans="1:6" ht="72" customHeight="1">
      <c r="A31" s="14" t="s">
        <v>299</v>
      </c>
      <c r="B31" s="14" t="s">
        <v>300</v>
      </c>
      <c r="C31" s="67" t="s">
        <v>301</v>
      </c>
      <c r="D31" s="13"/>
      <c r="E31" s="13">
        <v>800</v>
      </c>
      <c r="F31" s="13">
        <f t="shared" si="0"/>
        <v>417540</v>
      </c>
    </row>
    <row r="32" spans="1:6" ht="72" customHeight="1">
      <c r="A32" s="14" t="s">
        <v>306</v>
      </c>
      <c r="B32" s="14" t="s">
        <v>307</v>
      </c>
      <c r="C32" s="67" t="s">
        <v>305</v>
      </c>
      <c r="D32" s="13"/>
      <c r="E32" s="13">
        <v>800</v>
      </c>
      <c r="F32" s="13">
        <f t="shared" si="0"/>
        <v>416740</v>
      </c>
    </row>
    <row r="33" spans="1:6" ht="72" customHeight="1">
      <c r="A33" s="14" t="s">
        <v>309</v>
      </c>
      <c r="B33" s="14" t="s">
        <v>310</v>
      </c>
      <c r="C33" s="67" t="s">
        <v>308</v>
      </c>
      <c r="D33" s="13"/>
      <c r="E33" s="13">
        <v>800</v>
      </c>
      <c r="F33" s="13">
        <f t="shared" si="0"/>
        <v>415940</v>
      </c>
    </row>
    <row r="34" spans="1:6" ht="72" customHeight="1">
      <c r="A34" s="14" t="s">
        <v>312</v>
      </c>
      <c r="B34" s="14" t="s">
        <v>313</v>
      </c>
      <c r="C34" s="67" t="s">
        <v>311</v>
      </c>
      <c r="D34" s="13"/>
      <c r="E34" s="13">
        <v>14400</v>
      </c>
      <c r="F34" s="13">
        <f t="shared" si="0"/>
        <v>401540</v>
      </c>
    </row>
    <row r="35" spans="1:6" ht="72" customHeight="1">
      <c r="A35" s="14" t="s">
        <v>334</v>
      </c>
      <c r="B35" s="14" t="s">
        <v>335</v>
      </c>
      <c r="C35" s="67" t="s">
        <v>333</v>
      </c>
      <c r="D35" s="13"/>
      <c r="E35" s="13">
        <v>8000</v>
      </c>
      <c r="F35" s="13">
        <f t="shared" si="0"/>
        <v>393540</v>
      </c>
    </row>
    <row r="36" spans="1:6" ht="72" customHeight="1">
      <c r="A36" s="14" t="s">
        <v>349</v>
      </c>
      <c r="B36" s="14" t="s">
        <v>352</v>
      </c>
      <c r="C36" s="67" t="s">
        <v>346</v>
      </c>
      <c r="D36" s="13"/>
      <c r="E36" s="13">
        <v>3200</v>
      </c>
      <c r="F36" s="13">
        <f t="shared" si="0"/>
        <v>390340</v>
      </c>
    </row>
    <row r="37" spans="1:6" ht="72" customHeight="1">
      <c r="A37" s="14" t="s">
        <v>350</v>
      </c>
      <c r="B37" s="14" t="s">
        <v>352</v>
      </c>
      <c r="C37" s="67" t="s">
        <v>347</v>
      </c>
      <c r="D37" s="13"/>
      <c r="E37" s="13">
        <v>10400</v>
      </c>
      <c r="F37" s="13">
        <f t="shared" si="0"/>
        <v>379940</v>
      </c>
    </row>
    <row r="38" spans="1:6" ht="72" customHeight="1">
      <c r="A38" s="14" t="s">
        <v>351</v>
      </c>
      <c r="B38" s="14" t="s">
        <v>352</v>
      </c>
      <c r="C38" s="67" t="s">
        <v>348</v>
      </c>
      <c r="D38" s="13"/>
      <c r="E38" s="13">
        <v>7200</v>
      </c>
      <c r="F38" s="13">
        <f t="shared" si="0"/>
        <v>372740</v>
      </c>
    </row>
    <row r="39" spans="1:6" ht="72" customHeight="1">
      <c r="A39" s="14" t="s">
        <v>404</v>
      </c>
      <c r="B39" s="14" t="s">
        <v>405</v>
      </c>
      <c r="C39" s="67" t="s">
        <v>403</v>
      </c>
      <c r="D39" s="13"/>
      <c r="E39" s="13">
        <v>3200</v>
      </c>
      <c r="F39" s="13">
        <f t="shared" si="0"/>
        <v>369540</v>
      </c>
    </row>
    <row r="40" spans="1:6" ht="72" customHeight="1">
      <c r="A40" s="14" t="s">
        <v>417</v>
      </c>
      <c r="B40" s="14" t="s">
        <v>418</v>
      </c>
      <c r="C40" s="67" t="s">
        <v>414</v>
      </c>
      <c r="D40" s="13"/>
      <c r="E40" s="13">
        <v>1600</v>
      </c>
      <c r="F40" s="13">
        <f t="shared" si="0"/>
        <v>367940</v>
      </c>
    </row>
    <row r="41" spans="1:6" ht="72" customHeight="1">
      <c r="A41" s="14" t="s">
        <v>416</v>
      </c>
      <c r="B41" s="14" t="s">
        <v>418</v>
      </c>
      <c r="C41" s="67" t="s">
        <v>415</v>
      </c>
      <c r="D41" s="13"/>
      <c r="E41" s="13">
        <v>4800</v>
      </c>
      <c r="F41" s="13">
        <f t="shared" si="0"/>
        <v>363140</v>
      </c>
    </row>
    <row r="42" spans="1:6" ht="72" customHeight="1">
      <c r="A42" s="14" t="s">
        <v>420</v>
      </c>
      <c r="B42" s="14" t="s">
        <v>421</v>
      </c>
      <c r="C42" s="67" t="s">
        <v>419</v>
      </c>
      <c r="D42" s="13"/>
      <c r="E42" s="13">
        <v>1600</v>
      </c>
      <c r="F42" s="13">
        <f t="shared" si="0"/>
        <v>361540</v>
      </c>
    </row>
    <row r="43" spans="1:6" ht="72" customHeight="1">
      <c r="A43" s="14" t="s">
        <v>423</v>
      </c>
      <c r="B43" s="14" t="s">
        <v>421</v>
      </c>
      <c r="C43" s="67" t="s">
        <v>422</v>
      </c>
      <c r="D43" s="13"/>
      <c r="E43" s="13">
        <v>1600</v>
      </c>
      <c r="F43" s="13">
        <f t="shared" si="0"/>
        <v>359940</v>
      </c>
    </row>
    <row r="44" spans="1:6" ht="72" customHeight="1">
      <c r="A44" s="14" t="s">
        <v>425</v>
      </c>
      <c r="B44" s="14" t="s">
        <v>426</v>
      </c>
      <c r="C44" s="67" t="s">
        <v>424</v>
      </c>
      <c r="D44" s="13"/>
      <c r="E44" s="13">
        <v>3200</v>
      </c>
      <c r="F44" s="13">
        <f t="shared" si="0"/>
        <v>356740</v>
      </c>
    </row>
    <row r="45" spans="1:6" ht="72" customHeight="1">
      <c r="A45" s="14" t="s">
        <v>431</v>
      </c>
      <c r="B45" s="14" t="s">
        <v>432</v>
      </c>
      <c r="C45" s="67" t="s">
        <v>430</v>
      </c>
      <c r="D45" s="13"/>
      <c r="E45" s="13">
        <v>3200</v>
      </c>
      <c r="F45" s="13">
        <f t="shared" si="0"/>
        <v>353540</v>
      </c>
    </row>
    <row r="46" spans="1:6" ht="72" customHeight="1">
      <c r="A46" s="14" t="s">
        <v>459</v>
      </c>
      <c r="B46" s="14" t="s">
        <v>461</v>
      </c>
      <c r="C46" s="67" t="s">
        <v>457</v>
      </c>
      <c r="D46" s="13"/>
      <c r="E46" s="13">
        <v>15200</v>
      </c>
      <c r="F46" s="13">
        <f t="shared" si="0"/>
        <v>338340</v>
      </c>
    </row>
    <row r="47" spans="1:6" ht="72" customHeight="1">
      <c r="A47" s="14" t="s">
        <v>460</v>
      </c>
      <c r="B47" s="14" t="s">
        <v>461</v>
      </c>
      <c r="C47" s="67" t="s">
        <v>458</v>
      </c>
      <c r="D47" s="13"/>
      <c r="E47" s="13">
        <v>2400</v>
      </c>
      <c r="F47" s="13">
        <f t="shared" si="0"/>
        <v>335940</v>
      </c>
    </row>
    <row r="48" spans="1:6" ht="72" customHeight="1">
      <c r="A48" s="14" t="s">
        <v>463</v>
      </c>
      <c r="B48" s="14" t="s">
        <v>464</v>
      </c>
      <c r="C48" s="67" t="s">
        <v>462</v>
      </c>
      <c r="D48" s="13"/>
      <c r="E48" s="13">
        <v>3200</v>
      </c>
      <c r="F48" s="13">
        <f t="shared" si="0"/>
        <v>332740</v>
      </c>
    </row>
    <row r="49" spans="1:6" ht="72" customHeight="1">
      <c r="A49" s="14" t="s">
        <v>475</v>
      </c>
      <c r="B49" s="14" t="s">
        <v>476</v>
      </c>
      <c r="C49" s="67" t="s">
        <v>474</v>
      </c>
      <c r="D49" s="13"/>
      <c r="E49" s="13">
        <v>4800</v>
      </c>
      <c r="F49" s="13">
        <f t="shared" si="0"/>
        <v>327940</v>
      </c>
    </row>
    <row r="50" spans="1:6" ht="72" customHeight="1">
      <c r="A50" s="14" t="s">
        <v>477</v>
      </c>
      <c r="B50" s="14" t="s">
        <v>476</v>
      </c>
      <c r="C50" s="67" t="s">
        <v>478</v>
      </c>
      <c r="D50" s="13"/>
      <c r="E50" s="13">
        <v>1600</v>
      </c>
      <c r="F50" s="13">
        <f t="shared" si="0"/>
        <v>326340</v>
      </c>
    </row>
    <row r="51" spans="1:6" ht="72" customHeight="1">
      <c r="A51" s="14" t="s">
        <v>480</v>
      </c>
      <c r="B51" s="14" t="s">
        <v>476</v>
      </c>
      <c r="C51" s="67" t="s">
        <v>479</v>
      </c>
      <c r="D51" s="13"/>
      <c r="E51" s="13">
        <v>4800</v>
      </c>
      <c r="F51" s="13">
        <f t="shared" si="0"/>
        <v>321540</v>
      </c>
    </row>
    <row r="52" spans="1:6" ht="72" customHeight="1">
      <c r="A52" s="14" t="s">
        <v>494</v>
      </c>
      <c r="B52" s="14" t="s">
        <v>495</v>
      </c>
      <c r="C52" s="67" t="s">
        <v>493</v>
      </c>
      <c r="D52" s="13"/>
      <c r="E52" s="13">
        <v>3200</v>
      </c>
      <c r="F52" s="13">
        <f t="shared" si="0"/>
        <v>318340</v>
      </c>
    </row>
    <row r="53" spans="1:6" ht="72" customHeight="1">
      <c r="A53" s="14" t="s">
        <v>496</v>
      </c>
      <c r="B53" s="14" t="s">
        <v>497</v>
      </c>
      <c r="C53" s="67" t="s">
        <v>498</v>
      </c>
      <c r="D53" s="13"/>
      <c r="E53" s="13">
        <v>2400</v>
      </c>
      <c r="F53" s="13">
        <f t="shared" si="0"/>
        <v>315940</v>
      </c>
    </row>
    <row r="54" spans="1:6" ht="72" customHeight="1">
      <c r="A54" s="14" t="s">
        <v>499</v>
      </c>
      <c r="B54" s="14" t="s">
        <v>497</v>
      </c>
      <c r="C54" s="67" t="s">
        <v>500</v>
      </c>
      <c r="D54" s="13"/>
      <c r="E54" s="13">
        <v>2400</v>
      </c>
      <c r="F54" s="13">
        <f t="shared" si="0"/>
        <v>313540</v>
      </c>
    </row>
    <row r="55" spans="1:6" ht="72" customHeight="1">
      <c r="A55" s="14" t="s">
        <v>501</v>
      </c>
      <c r="B55" s="14" t="s">
        <v>497</v>
      </c>
      <c r="C55" s="67" t="s">
        <v>502</v>
      </c>
      <c r="D55" s="13"/>
      <c r="E55" s="13">
        <v>8000</v>
      </c>
      <c r="F55" s="13">
        <f t="shared" si="0"/>
        <v>305540</v>
      </c>
    </row>
    <row r="56" spans="1:6" ht="72" customHeight="1">
      <c r="A56" s="68" t="s">
        <v>503</v>
      </c>
      <c r="B56" s="69" t="s">
        <v>504</v>
      </c>
      <c r="C56" s="108" t="s">
        <v>505</v>
      </c>
      <c r="D56" s="13"/>
      <c r="E56" s="13">
        <v>4800</v>
      </c>
      <c r="F56" s="13">
        <f t="shared" si="0"/>
        <v>300740</v>
      </c>
    </row>
    <row r="57" spans="1:6" ht="72" customHeight="1">
      <c r="A57" s="68" t="s">
        <v>506</v>
      </c>
      <c r="B57" s="69" t="s">
        <v>504</v>
      </c>
      <c r="C57" s="108" t="s">
        <v>507</v>
      </c>
      <c r="D57" s="13"/>
      <c r="E57" s="13">
        <v>2400</v>
      </c>
      <c r="F57" s="13">
        <f t="shared" si="0"/>
        <v>298340</v>
      </c>
    </row>
    <row r="58" spans="1:6" ht="72" customHeight="1">
      <c r="A58" s="14" t="s">
        <v>508</v>
      </c>
      <c r="B58" s="14" t="s">
        <v>504</v>
      </c>
      <c r="C58" s="67" t="s">
        <v>509</v>
      </c>
      <c r="D58" s="13"/>
      <c r="E58" s="13">
        <v>2400</v>
      </c>
      <c r="F58" s="13">
        <f t="shared" si="0"/>
        <v>295940</v>
      </c>
    </row>
    <row r="59" spans="1:6" ht="24" customHeight="1">
      <c r="A59" s="14" t="s">
        <v>570</v>
      </c>
      <c r="B59" s="14" t="s">
        <v>421</v>
      </c>
      <c r="C59" s="67" t="s">
        <v>571</v>
      </c>
      <c r="D59" s="13"/>
      <c r="E59" s="13">
        <v>85550</v>
      </c>
      <c r="F59" s="13">
        <f t="shared" si="0"/>
        <v>210390</v>
      </c>
    </row>
    <row r="60" spans="1:6" ht="24" customHeight="1">
      <c r="A60" s="14" t="s">
        <v>573</v>
      </c>
      <c r="B60" s="14" t="s">
        <v>389</v>
      </c>
      <c r="C60" s="67" t="s">
        <v>572</v>
      </c>
      <c r="D60" s="13"/>
      <c r="E60" s="13">
        <v>4340</v>
      </c>
      <c r="F60" s="13">
        <f t="shared" si="0"/>
        <v>206050</v>
      </c>
    </row>
    <row r="61" spans="1:6" ht="96" customHeight="1">
      <c r="A61" s="14" t="s">
        <v>579</v>
      </c>
      <c r="B61" s="14" t="s">
        <v>562</v>
      </c>
      <c r="C61" s="67" t="s">
        <v>580</v>
      </c>
      <c r="D61" s="13"/>
      <c r="E61" s="13">
        <v>160000</v>
      </c>
      <c r="F61" s="13">
        <f t="shared" si="0"/>
        <v>46050</v>
      </c>
    </row>
    <row r="62" spans="1:6" ht="24.6">
      <c r="A62" s="126" t="s">
        <v>5</v>
      </c>
      <c r="B62" s="127"/>
      <c r="C62" s="128"/>
      <c r="D62" s="38">
        <f>SUM(D4:D5)</f>
        <v>537540</v>
      </c>
      <c r="E62" s="38">
        <f>SUM(E5:E61)</f>
        <v>491490</v>
      </c>
      <c r="F62" s="38">
        <f>D62-E62</f>
        <v>46050</v>
      </c>
    </row>
    <row r="63" spans="1:6" ht="24.6">
      <c r="A63" s="20"/>
      <c r="B63" s="20"/>
      <c r="C63" s="20"/>
      <c r="D63" s="20"/>
      <c r="E63" s="20"/>
      <c r="F63" s="20"/>
    </row>
    <row r="64" spans="1:6" ht="24.6">
      <c r="A64" s="20"/>
      <c r="B64" s="20"/>
      <c r="C64" s="20" t="s">
        <v>35</v>
      </c>
      <c r="D64" s="20"/>
      <c r="E64" s="20"/>
      <c r="F64" s="20"/>
    </row>
    <row r="65" spans="1:6" ht="24.6">
      <c r="A65" s="1"/>
      <c r="B65" s="1"/>
      <c r="C65" s="20" t="s">
        <v>510</v>
      </c>
      <c r="D65" s="1"/>
      <c r="E65" s="141">
        <f>F62-33600</f>
        <v>12450</v>
      </c>
      <c r="F65" s="1"/>
    </row>
    <row r="66" spans="1:6" ht="24.6">
      <c r="A66" s="1"/>
      <c r="B66" s="1"/>
      <c r="C66" s="20"/>
      <c r="D66" s="1"/>
      <c r="E66" s="1"/>
      <c r="F66" s="1"/>
    </row>
    <row r="67" spans="1:6" ht="24.6">
      <c r="A67" s="1"/>
      <c r="B67" s="1"/>
      <c r="C67" s="20" t="s">
        <v>15</v>
      </c>
      <c r="D67" s="1"/>
      <c r="E67" s="1"/>
      <c r="F67" s="1"/>
    </row>
    <row r="68" spans="1:6" ht="24.6">
      <c r="A68" s="1"/>
      <c r="B68" s="1"/>
      <c r="C68" s="1"/>
      <c r="D68" s="1"/>
      <c r="E68" s="1"/>
      <c r="F68" s="1"/>
    </row>
    <row r="69" spans="1:6" ht="24.6">
      <c r="A69" s="1"/>
      <c r="B69" s="1"/>
      <c r="C69" s="1"/>
      <c r="D69" s="1"/>
      <c r="E69" s="1"/>
      <c r="F69" s="1"/>
    </row>
    <row r="70" spans="1:6" ht="24.6">
      <c r="A70" s="1"/>
      <c r="B70" s="1"/>
      <c r="C70" s="1"/>
      <c r="D70" s="1"/>
      <c r="E70" s="1"/>
      <c r="F70" s="1"/>
    </row>
    <row r="71" spans="1:6" ht="24.6">
      <c r="A71" s="1"/>
      <c r="B71" s="1"/>
      <c r="C71" s="1"/>
      <c r="D71" s="1"/>
      <c r="E71" s="1"/>
      <c r="F71" s="1"/>
    </row>
    <row r="72" spans="1:6" ht="24.6">
      <c r="A72" s="1"/>
      <c r="B72" s="1"/>
      <c r="C72" s="1"/>
      <c r="D72" s="1"/>
      <c r="E72" s="1"/>
      <c r="F72" s="1"/>
    </row>
    <row r="73" spans="1:6" ht="24.6">
      <c r="A73" s="1"/>
      <c r="B73" s="1"/>
      <c r="C73" s="1"/>
      <c r="D73" s="1"/>
      <c r="E73" s="1"/>
      <c r="F73" s="1"/>
    </row>
    <row r="74" spans="1:6" ht="24.6">
      <c r="A74" s="1"/>
      <c r="B74" s="1"/>
      <c r="C74" s="1"/>
      <c r="D74" s="1"/>
      <c r="E74" s="1"/>
      <c r="F74" s="1"/>
    </row>
    <row r="75" spans="1:6" ht="24.6">
      <c r="A75" s="1"/>
      <c r="B75" s="1"/>
      <c r="C75" s="1"/>
      <c r="D75" s="1"/>
      <c r="E75" s="1"/>
      <c r="F75" s="1"/>
    </row>
    <row r="76" spans="1:6" ht="24.6">
      <c r="A76" s="1"/>
      <c r="B76" s="1"/>
      <c r="C76" s="1"/>
      <c r="D76" s="1"/>
      <c r="E76" s="1"/>
      <c r="F76" s="1"/>
    </row>
    <row r="77" spans="1:6" ht="24.6">
      <c r="A77" s="1"/>
      <c r="B77" s="1"/>
      <c r="C77" s="1"/>
      <c r="D77" s="1"/>
      <c r="E77" s="1"/>
      <c r="F77" s="1"/>
    </row>
    <row r="78" spans="1:6" ht="24.6">
      <c r="A78" s="1"/>
      <c r="B78" s="1"/>
      <c r="C78" s="1"/>
      <c r="D78" s="1"/>
      <c r="E78" s="1"/>
      <c r="F78" s="1"/>
    </row>
    <row r="79" spans="1:6" ht="24.6">
      <c r="A79" s="1"/>
      <c r="B79" s="1"/>
      <c r="C79" s="1"/>
      <c r="D79" s="1"/>
      <c r="E79" s="1"/>
      <c r="F79" s="1"/>
    </row>
    <row r="80" spans="1:6" ht="24.6">
      <c r="A80" s="1"/>
      <c r="B80" s="1"/>
      <c r="C80" s="1"/>
      <c r="D80" s="1"/>
      <c r="E80" s="1"/>
      <c r="F80" s="1"/>
    </row>
    <row r="81" spans="1:6" ht="24.6">
      <c r="A81" s="1"/>
      <c r="B81" s="1"/>
      <c r="C81" s="1"/>
      <c r="D81" s="1"/>
      <c r="E81" s="1"/>
      <c r="F81" s="1"/>
    </row>
    <row r="82" spans="1:6" ht="24.6">
      <c r="A82" s="1"/>
      <c r="B82" s="1"/>
      <c r="C82" s="1"/>
      <c r="D82" s="1"/>
      <c r="E82" s="1"/>
      <c r="F82" s="1"/>
    </row>
    <row r="83" spans="1:6" ht="24.6">
      <c r="A83" s="1"/>
      <c r="B83" s="1"/>
      <c r="C83" s="1"/>
      <c r="D83" s="1"/>
      <c r="E83" s="1"/>
      <c r="F83" s="1"/>
    </row>
    <row r="84" spans="1:6" ht="24.6">
      <c r="A84" s="1"/>
      <c r="B84" s="1"/>
      <c r="C84" s="1"/>
      <c r="D84" s="1"/>
      <c r="E84" s="1"/>
      <c r="F84" s="1"/>
    </row>
    <row r="85" spans="1:6" ht="24.6">
      <c r="A85" s="1"/>
      <c r="B85" s="1"/>
      <c r="C85" s="1"/>
      <c r="D85" s="1"/>
      <c r="E85" s="1"/>
      <c r="F85" s="1"/>
    </row>
    <row r="86" spans="1:6" ht="24.6">
      <c r="A86" s="1"/>
      <c r="B86" s="1"/>
      <c r="C86" s="1"/>
      <c r="D86" s="1"/>
      <c r="E86" s="1"/>
      <c r="F86" s="1"/>
    </row>
    <row r="87" spans="1:6" ht="24.6">
      <c r="A87" s="1"/>
      <c r="B87" s="1"/>
      <c r="C87" s="1"/>
      <c r="D87" s="1"/>
      <c r="E87" s="1"/>
      <c r="F87" s="1"/>
    </row>
    <row r="88" spans="1:6" ht="24.6">
      <c r="A88" s="1"/>
      <c r="B88" s="1"/>
      <c r="C88" s="1"/>
      <c r="D88" s="1"/>
      <c r="E88" s="1"/>
      <c r="F88" s="1"/>
    </row>
    <row r="89" spans="1:6" ht="24.6">
      <c r="A89" s="1"/>
      <c r="B89" s="1"/>
      <c r="C89" s="1"/>
      <c r="D89" s="1"/>
      <c r="E89" s="1"/>
      <c r="F89" s="1"/>
    </row>
    <row r="90" spans="1:6" ht="24.6">
      <c r="A90" s="1"/>
      <c r="B90" s="1"/>
      <c r="C90" s="1"/>
      <c r="D90" s="1"/>
      <c r="E90" s="1"/>
      <c r="F90" s="1"/>
    </row>
    <row r="91" spans="1:6" ht="24.6">
      <c r="A91" s="1"/>
      <c r="B91" s="1"/>
      <c r="C91" s="1"/>
      <c r="D91" s="1"/>
      <c r="E91" s="1"/>
      <c r="F91" s="1"/>
    </row>
    <row r="92" spans="1:6" ht="24.6">
      <c r="A92" s="1"/>
      <c r="B92" s="1"/>
      <c r="C92" s="1"/>
      <c r="D92" s="1"/>
      <c r="E92" s="1"/>
      <c r="F92" s="1"/>
    </row>
    <row r="93" spans="1:6" ht="24.6">
      <c r="A93" s="1"/>
      <c r="B93" s="1"/>
      <c r="C93" s="1"/>
      <c r="D93" s="1"/>
      <c r="E93" s="1"/>
      <c r="F93" s="1"/>
    </row>
    <row r="94" spans="1:6" ht="24.6">
      <c r="A94" s="1"/>
      <c r="B94" s="1"/>
      <c r="C94" s="1"/>
      <c r="D94" s="1"/>
      <c r="E94" s="1"/>
      <c r="F94" s="1"/>
    </row>
    <row r="95" spans="1:6" ht="24.6">
      <c r="A95" s="1"/>
      <c r="B95" s="1"/>
      <c r="C95" s="1"/>
      <c r="D95" s="1"/>
      <c r="E95" s="1"/>
      <c r="F95" s="1"/>
    </row>
    <row r="96" spans="1:6" ht="24.6">
      <c r="A96" s="1"/>
      <c r="B96" s="1"/>
      <c r="C96" s="1"/>
      <c r="D96" s="1"/>
      <c r="E96" s="1"/>
      <c r="F96" s="1"/>
    </row>
    <row r="97" spans="1:6" ht="24.6">
      <c r="A97" s="1"/>
      <c r="B97" s="1"/>
      <c r="C97" s="1"/>
      <c r="D97" s="1"/>
      <c r="E97" s="1"/>
      <c r="F97" s="1"/>
    </row>
    <row r="98" spans="1:6" ht="24.6">
      <c r="A98" s="1"/>
      <c r="B98" s="1"/>
      <c r="C98" s="1"/>
      <c r="D98" s="1"/>
      <c r="E98" s="1"/>
      <c r="F98" s="1"/>
    </row>
    <row r="99" spans="1:6" ht="24.6">
      <c r="A99" s="1"/>
      <c r="B99" s="1"/>
      <c r="C99" s="1"/>
      <c r="D99" s="1"/>
      <c r="E99" s="1"/>
      <c r="F99" s="1"/>
    </row>
    <row r="100" spans="1:6" ht="24.6">
      <c r="A100" s="1"/>
      <c r="B100" s="1"/>
      <c r="C100" s="1"/>
      <c r="D100" s="1"/>
      <c r="E100" s="1"/>
      <c r="F100" s="1"/>
    </row>
    <row r="101" spans="1:6" ht="24.6">
      <c r="A101" s="1"/>
      <c r="B101" s="1"/>
      <c r="C101" s="1"/>
      <c r="D101" s="1"/>
      <c r="E101" s="1"/>
      <c r="F101" s="1"/>
    </row>
  </sheetData>
  <mergeCells count="2">
    <mergeCell ref="A1:F1"/>
    <mergeCell ref="A62:C62"/>
  </mergeCells>
  <hyperlinks>
    <hyperlink ref="G1" location="'7.โครงการนิเทศ'!A1" display="โครงการนิเทศ"/>
  </hyperlinks>
  <pageMargins left="3.937007874015748E-2" right="3.937007874015748E-2" top="0.74803149606299213" bottom="0.74803149606299213" header="0.31496062992125984" footer="0.31496062992125984"/>
  <pageSetup paperSize="9" orientation="landscape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Views>
    <sheetView workbookViewId="0">
      <selection activeCell="G1" sqref="G1"/>
    </sheetView>
  </sheetViews>
  <sheetFormatPr defaultRowHeight="14.4"/>
  <cols>
    <col min="1" max="1" width="13.44140625" customWidth="1"/>
    <col min="2" max="2" width="18.6640625" customWidth="1"/>
    <col min="3" max="3" width="70.33203125" customWidth="1"/>
    <col min="4" max="4" width="12.88671875" customWidth="1"/>
    <col min="5" max="5" width="13.88671875" customWidth="1"/>
    <col min="6" max="6" width="12.77734375" customWidth="1"/>
  </cols>
  <sheetData>
    <row r="1" spans="1:7" ht="24" customHeight="1">
      <c r="A1" s="134" t="s">
        <v>91</v>
      </c>
      <c r="B1" s="135"/>
      <c r="C1" s="135"/>
      <c r="D1" s="135"/>
      <c r="E1" s="135"/>
      <c r="F1" s="135"/>
      <c r="G1" s="6" t="s">
        <v>34</v>
      </c>
    </row>
    <row r="2" spans="1:7" ht="24" customHeight="1">
      <c r="A2" s="44"/>
      <c r="B2" s="44"/>
      <c r="C2" s="44" t="s">
        <v>90</v>
      </c>
      <c r="D2" s="44"/>
      <c r="E2" s="44"/>
      <c r="F2" s="44"/>
      <c r="G2" s="6"/>
    </row>
    <row r="3" spans="1:7" ht="24.6">
      <c r="A3" s="21" t="s">
        <v>20</v>
      </c>
      <c r="B3" s="21" t="s">
        <v>21</v>
      </c>
      <c r="C3" s="21" t="s">
        <v>6</v>
      </c>
      <c r="D3" s="21" t="s">
        <v>14</v>
      </c>
      <c r="E3" s="21" t="s">
        <v>7</v>
      </c>
      <c r="F3" s="21" t="s">
        <v>4</v>
      </c>
    </row>
    <row r="4" spans="1:7" ht="24.6">
      <c r="A4" s="11"/>
      <c r="B4" s="11"/>
      <c r="C4" s="12" t="s">
        <v>91</v>
      </c>
      <c r="D4" s="13">
        <v>87760</v>
      </c>
      <c r="E4" s="13"/>
      <c r="F4" s="13">
        <f>D4-E4</f>
        <v>87760</v>
      </c>
    </row>
    <row r="5" spans="1:7" ht="120" customHeight="1">
      <c r="A5" s="14" t="s">
        <v>181</v>
      </c>
      <c r="B5" s="14" t="s">
        <v>188</v>
      </c>
      <c r="C5" s="15" t="s">
        <v>189</v>
      </c>
      <c r="D5" s="13"/>
      <c r="E5" s="13">
        <v>3080</v>
      </c>
      <c r="F5" s="13">
        <f>F4-E5</f>
        <v>84680</v>
      </c>
    </row>
    <row r="6" spans="1:7" ht="147.6">
      <c r="A6" s="14" t="s">
        <v>382</v>
      </c>
      <c r="B6" s="14" t="s">
        <v>388</v>
      </c>
      <c r="C6" s="15" t="s">
        <v>387</v>
      </c>
      <c r="D6" s="13"/>
      <c r="E6" s="13">
        <v>8340</v>
      </c>
      <c r="F6" s="13">
        <f t="shared" ref="F6:F17" si="0">F5-E6</f>
        <v>76340</v>
      </c>
    </row>
    <row r="7" spans="1:7" ht="96" customHeight="1">
      <c r="A7" s="102" t="s">
        <v>389</v>
      </c>
      <c r="B7" s="103" t="s">
        <v>390</v>
      </c>
      <c r="C7" s="95" t="s">
        <v>391</v>
      </c>
      <c r="D7" s="101">
        <v>1944</v>
      </c>
      <c r="E7" s="101"/>
      <c r="F7" s="101">
        <f t="shared" si="0"/>
        <v>76340</v>
      </c>
    </row>
    <row r="8" spans="1:7" ht="123">
      <c r="A8" s="14" t="s">
        <v>389</v>
      </c>
      <c r="B8" s="77" t="s">
        <v>392</v>
      </c>
      <c r="C8" s="15" t="s">
        <v>393</v>
      </c>
      <c r="D8" s="13">
        <v>8352</v>
      </c>
      <c r="E8" s="13"/>
      <c r="F8" s="13">
        <f t="shared" si="0"/>
        <v>76340</v>
      </c>
    </row>
    <row r="9" spans="1:7" ht="98.4">
      <c r="A9" s="14" t="s">
        <v>405</v>
      </c>
      <c r="B9" s="77" t="s">
        <v>408</v>
      </c>
      <c r="C9" s="15" t="s">
        <v>409</v>
      </c>
      <c r="D9" s="13">
        <v>8704</v>
      </c>
      <c r="E9" s="13"/>
      <c r="F9" s="13">
        <f t="shared" si="0"/>
        <v>76340</v>
      </c>
    </row>
    <row r="10" spans="1:7" ht="98.4">
      <c r="A10" s="104" t="s">
        <v>405</v>
      </c>
      <c r="B10" s="107" t="s">
        <v>410</v>
      </c>
      <c r="C10" s="105" t="s">
        <v>411</v>
      </c>
      <c r="D10" s="106">
        <v>1088</v>
      </c>
      <c r="E10" s="106"/>
      <c r="F10" s="106">
        <f t="shared" si="0"/>
        <v>76340</v>
      </c>
    </row>
    <row r="11" spans="1:7" ht="98.4">
      <c r="A11" s="14" t="s">
        <v>405</v>
      </c>
      <c r="B11" s="77" t="s">
        <v>412</v>
      </c>
      <c r="C11" s="15" t="s">
        <v>413</v>
      </c>
      <c r="D11" s="13">
        <v>120</v>
      </c>
      <c r="E11" s="13"/>
      <c r="F11" s="13">
        <f t="shared" si="0"/>
        <v>76340</v>
      </c>
    </row>
    <row r="12" spans="1:7" ht="196.8">
      <c r="A12" s="14" t="s">
        <v>472</v>
      </c>
      <c r="B12" s="14" t="s">
        <v>473</v>
      </c>
      <c r="C12" s="15" t="s">
        <v>471</v>
      </c>
      <c r="D12" s="13"/>
      <c r="E12" s="13">
        <v>8352</v>
      </c>
      <c r="F12" s="13">
        <f t="shared" si="0"/>
        <v>67988</v>
      </c>
    </row>
    <row r="13" spans="1:7" ht="98.4">
      <c r="A13" s="98" t="s">
        <v>481</v>
      </c>
      <c r="B13" s="99" t="s">
        <v>483</v>
      </c>
      <c r="C13" s="100" t="s">
        <v>482</v>
      </c>
      <c r="D13" s="101"/>
      <c r="E13" s="101">
        <v>1784</v>
      </c>
      <c r="F13" s="101">
        <f>F12-E13</f>
        <v>66204</v>
      </c>
    </row>
    <row r="14" spans="1:7" ht="147.6">
      <c r="A14" s="104" t="s">
        <v>485</v>
      </c>
      <c r="B14" s="104" t="s">
        <v>486</v>
      </c>
      <c r="C14" s="105" t="s">
        <v>484</v>
      </c>
      <c r="D14" s="106"/>
      <c r="E14" s="106">
        <v>728</v>
      </c>
      <c r="F14" s="106">
        <f t="shared" si="0"/>
        <v>65476</v>
      </c>
    </row>
    <row r="15" spans="1:7" ht="147.6">
      <c r="A15" s="68" t="s">
        <v>481</v>
      </c>
      <c r="B15" s="69" t="s">
        <v>488</v>
      </c>
      <c r="C15" s="70" t="s">
        <v>487</v>
      </c>
      <c r="D15" s="13"/>
      <c r="E15" s="13">
        <v>120</v>
      </c>
      <c r="F15" s="13">
        <f t="shared" si="0"/>
        <v>65356</v>
      </c>
    </row>
    <row r="16" spans="1:7" ht="120" customHeight="1">
      <c r="A16" s="68" t="s">
        <v>481</v>
      </c>
      <c r="B16" s="69" t="s">
        <v>489</v>
      </c>
      <c r="C16" s="70" t="s">
        <v>490</v>
      </c>
      <c r="D16" s="13"/>
      <c r="E16" s="13">
        <v>9704</v>
      </c>
      <c r="F16" s="13">
        <f t="shared" si="0"/>
        <v>55652</v>
      </c>
    </row>
    <row r="17" spans="1:6" ht="96" customHeight="1">
      <c r="A17" s="68" t="s">
        <v>579</v>
      </c>
      <c r="B17" s="69" t="s">
        <v>562</v>
      </c>
      <c r="C17" s="70" t="s">
        <v>580</v>
      </c>
      <c r="D17" s="13"/>
      <c r="E17" s="13">
        <v>52000</v>
      </c>
      <c r="F17" s="13">
        <f t="shared" si="0"/>
        <v>3652</v>
      </c>
    </row>
    <row r="18" spans="1:6" ht="24.6">
      <c r="A18" s="126" t="s">
        <v>5</v>
      </c>
      <c r="B18" s="127"/>
      <c r="C18" s="128"/>
      <c r="D18" s="38">
        <f>D4</f>
        <v>87760</v>
      </c>
      <c r="E18" s="38">
        <f>SUM(E4:E17)</f>
        <v>84108</v>
      </c>
      <c r="F18" s="38">
        <f>D18-E18</f>
        <v>3652</v>
      </c>
    </row>
    <row r="19" spans="1:6" ht="24.6">
      <c r="A19" s="20"/>
      <c r="B19" s="20"/>
      <c r="C19" s="20"/>
      <c r="D19" s="20"/>
      <c r="E19" s="20"/>
      <c r="F19" s="20"/>
    </row>
    <row r="20" spans="1:6" ht="24.6">
      <c r="A20" s="20"/>
      <c r="B20" s="20"/>
      <c r="C20" s="20" t="s">
        <v>35</v>
      </c>
      <c r="D20" s="20"/>
      <c r="E20" s="60"/>
      <c r="F20" s="60"/>
    </row>
    <row r="21" spans="1:6" ht="24.6">
      <c r="A21" s="20"/>
      <c r="B21" s="20"/>
      <c r="C21" s="20"/>
      <c r="D21" s="20"/>
      <c r="E21" s="20"/>
      <c r="F21" s="20"/>
    </row>
    <row r="22" spans="1:6" ht="24.6">
      <c r="A22" s="1"/>
      <c r="B22" s="1"/>
      <c r="C22" s="1"/>
      <c r="D22" s="1"/>
      <c r="E22" s="1"/>
      <c r="F22" s="1"/>
    </row>
    <row r="23" spans="1:6" ht="24.6">
      <c r="A23" s="1"/>
      <c r="B23" s="1"/>
      <c r="C23" s="1" t="s">
        <v>15</v>
      </c>
      <c r="D23" s="1"/>
      <c r="E23" s="1"/>
      <c r="F23" s="1"/>
    </row>
    <row r="24" spans="1:6" ht="24.6">
      <c r="A24" s="1"/>
      <c r="B24" s="1"/>
      <c r="C24" s="1"/>
      <c r="D24" s="1"/>
      <c r="E24" s="1"/>
      <c r="F24" s="1"/>
    </row>
    <row r="25" spans="1:6" ht="24.6">
      <c r="A25" s="1"/>
      <c r="B25" s="1"/>
      <c r="C25" s="1"/>
      <c r="D25" s="1"/>
      <c r="E25" s="1"/>
      <c r="F25" s="1"/>
    </row>
    <row r="26" spans="1:6" ht="24.6">
      <c r="A26" s="1"/>
      <c r="B26" s="1"/>
      <c r="C26" s="1"/>
      <c r="D26" s="1"/>
      <c r="E26" s="1"/>
      <c r="F26" s="1"/>
    </row>
    <row r="27" spans="1:6" ht="24.6">
      <c r="A27" s="1"/>
      <c r="B27" s="1"/>
      <c r="C27" s="1"/>
      <c r="D27" s="1"/>
      <c r="E27" s="1"/>
      <c r="F27" s="1"/>
    </row>
    <row r="28" spans="1:6" ht="24.6">
      <c r="A28" s="1"/>
      <c r="B28" s="1"/>
      <c r="C28" s="1"/>
      <c r="D28" s="1"/>
      <c r="E28" s="1"/>
      <c r="F28" s="1"/>
    </row>
    <row r="29" spans="1:6" ht="24.6">
      <c r="A29" s="1"/>
      <c r="B29" s="1"/>
      <c r="C29" s="1"/>
      <c r="D29" s="1"/>
      <c r="E29" s="1"/>
      <c r="F29" s="1"/>
    </row>
    <row r="30" spans="1:6" ht="24.6">
      <c r="A30" s="1"/>
      <c r="B30" s="1"/>
      <c r="C30" s="1"/>
      <c r="D30" s="1"/>
      <c r="E30" s="1"/>
      <c r="F30" s="1"/>
    </row>
    <row r="31" spans="1:6" ht="24.6">
      <c r="A31" s="1"/>
      <c r="B31" s="1"/>
      <c r="C31" s="1"/>
      <c r="D31" s="1"/>
      <c r="E31" s="1"/>
      <c r="F31" s="1"/>
    </row>
    <row r="32" spans="1:6" ht="24.6">
      <c r="A32" s="1"/>
      <c r="B32" s="1"/>
      <c r="C32" s="1"/>
      <c r="D32" s="1"/>
      <c r="E32" s="1"/>
      <c r="F32" s="1"/>
    </row>
    <row r="33" spans="1:6" ht="24.6">
      <c r="A33" s="1"/>
      <c r="B33" s="1"/>
      <c r="C33" s="1"/>
      <c r="D33" s="1"/>
      <c r="E33" s="1"/>
      <c r="F33" s="1"/>
    </row>
    <row r="34" spans="1:6" ht="24.6">
      <c r="A34" s="1"/>
      <c r="B34" s="1"/>
      <c r="C34" s="1"/>
      <c r="D34" s="1"/>
      <c r="E34" s="1"/>
      <c r="F34" s="1"/>
    </row>
    <row r="35" spans="1:6" ht="24.6">
      <c r="A35" s="1"/>
      <c r="B35" s="1"/>
      <c r="C35" s="1"/>
      <c r="D35" s="1"/>
      <c r="E35" s="1"/>
      <c r="F35" s="1"/>
    </row>
    <row r="36" spans="1:6" ht="24.6">
      <c r="A36" s="1"/>
      <c r="B36" s="1"/>
      <c r="C36" s="1"/>
      <c r="D36" s="1"/>
      <c r="E36" s="1"/>
      <c r="F36" s="1"/>
    </row>
    <row r="37" spans="1:6" ht="24.6">
      <c r="A37" s="1"/>
      <c r="B37" s="1"/>
      <c r="C37" s="1"/>
      <c r="D37" s="1"/>
      <c r="E37" s="1"/>
      <c r="F37" s="1"/>
    </row>
    <row r="38" spans="1:6" ht="24.6">
      <c r="A38" s="1"/>
      <c r="B38" s="1"/>
      <c r="C38" s="1"/>
      <c r="D38" s="1"/>
      <c r="E38" s="1"/>
      <c r="F38" s="1"/>
    </row>
    <row r="39" spans="1:6" ht="24.6">
      <c r="A39" s="1"/>
      <c r="B39" s="1"/>
      <c r="C39" s="1"/>
      <c r="D39" s="1"/>
      <c r="E39" s="1"/>
      <c r="F39" s="1"/>
    </row>
    <row r="40" spans="1:6" ht="24.6">
      <c r="A40" s="1"/>
      <c r="B40" s="1"/>
      <c r="C40" s="1"/>
      <c r="D40" s="1"/>
      <c r="E40" s="1"/>
      <c r="F40" s="1"/>
    </row>
    <row r="41" spans="1:6" ht="24.6">
      <c r="A41" s="1"/>
      <c r="B41" s="1"/>
      <c r="C41" s="1"/>
      <c r="D41" s="1"/>
      <c r="E41" s="1"/>
      <c r="F41" s="1"/>
    </row>
    <row r="42" spans="1:6" ht="24.6">
      <c r="A42" s="1"/>
      <c r="B42" s="1"/>
      <c r="C42" s="1"/>
      <c r="D42" s="1"/>
      <c r="E42" s="1"/>
      <c r="F42" s="1"/>
    </row>
    <row r="43" spans="1:6" ht="24.6">
      <c r="A43" s="1"/>
      <c r="B43" s="1"/>
      <c r="C43" s="1"/>
      <c r="D43" s="1"/>
      <c r="E43" s="1"/>
      <c r="F43" s="1"/>
    </row>
    <row r="44" spans="1:6" ht="24.6">
      <c r="A44" s="1"/>
      <c r="B44" s="1"/>
      <c r="C44" s="1"/>
      <c r="D44" s="1"/>
      <c r="E44" s="1"/>
      <c r="F44" s="1"/>
    </row>
    <row r="45" spans="1:6" ht="24.6">
      <c r="A45" s="1"/>
      <c r="B45" s="1"/>
      <c r="C45" s="1"/>
      <c r="D45" s="1"/>
      <c r="E45" s="1"/>
      <c r="F45" s="1"/>
    </row>
    <row r="46" spans="1:6" ht="24.6">
      <c r="A46" s="1"/>
      <c r="B46" s="1"/>
      <c r="C46" s="1"/>
      <c r="D46" s="1"/>
      <c r="E46" s="1"/>
      <c r="F46" s="1"/>
    </row>
    <row r="47" spans="1:6" ht="24.6">
      <c r="A47" s="1"/>
      <c r="B47" s="1"/>
      <c r="C47" s="1"/>
      <c r="D47" s="1"/>
      <c r="E47" s="1"/>
      <c r="F47" s="1"/>
    </row>
    <row r="48" spans="1:6" ht="24.6">
      <c r="A48" s="1"/>
      <c r="B48" s="1"/>
      <c r="C48" s="1"/>
      <c r="D48" s="1"/>
      <c r="E48" s="1"/>
      <c r="F48" s="1"/>
    </row>
    <row r="49" spans="1:6" ht="24.6">
      <c r="A49" s="1"/>
      <c r="B49" s="1"/>
      <c r="C49" s="1"/>
      <c r="D49" s="1"/>
      <c r="E49" s="1"/>
      <c r="F49" s="1"/>
    </row>
    <row r="50" spans="1:6" ht="24.6">
      <c r="A50" s="1"/>
      <c r="B50" s="1"/>
      <c r="C50" s="1"/>
      <c r="D50" s="1"/>
      <c r="E50" s="1"/>
      <c r="F50" s="1"/>
    </row>
    <row r="51" spans="1:6" ht="24.6">
      <c r="A51" s="1"/>
      <c r="B51" s="1"/>
      <c r="C51" s="1"/>
      <c r="D51" s="1"/>
      <c r="E51" s="1"/>
      <c r="F51" s="1"/>
    </row>
    <row r="52" spans="1:6" ht="24.6">
      <c r="A52" s="1"/>
      <c r="B52" s="1"/>
      <c r="C52" s="1"/>
      <c r="D52" s="1"/>
      <c r="E52" s="1"/>
      <c r="F52" s="1"/>
    </row>
    <row r="53" spans="1:6" ht="24.6">
      <c r="A53" s="1"/>
      <c r="B53" s="1"/>
      <c r="C53" s="1"/>
      <c r="D53" s="1"/>
      <c r="E53" s="1"/>
      <c r="F53" s="1"/>
    </row>
    <row r="54" spans="1:6" ht="24.6">
      <c r="A54" s="1"/>
      <c r="B54" s="1"/>
      <c r="C54" s="1"/>
      <c r="D54" s="1"/>
      <c r="E54" s="1"/>
      <c r="F54" s="1"/>
    </row>
    <row r="55" spans="1:6" ht="24.6">
      <c r="A55" s="1"/>
      <c r="B55" s="1"/>
      <c r="C55" s="1"/>
      <c r="D55" s="1"/>
      <c r="E55" s="1"/>
      <c r="F55" s="1"/>
    </row>
    <row r="56" spans="1:6" ht="24.6">
      <c r="A56" s="1"/>
      <c r="B56" s="1"/>
      <c r="C56" s="1"/>
      <c r="D56" s="1"/>
      <c r="E56" s="1"/>
      <c r="F56" s="1"/>
    </row>
    <row r="57" spans="1:6" ht="24.6">
      <c r="A57" s="1"/>
      <c r="B57" s="1"/>
      <c r="C57" s="1"/>
      <c r="D57" s="1"/>
      <c r="E57" s="1"/>
      <c r="F57" s="1"/>
    </row>
  </sheetData>
  <mergeCells count="2">
    <mergeCell ref="A1:F1"/>
    <mergeCell ref="A18:C18"/>
  </mergeCells>
  <hyperlinks>
    <hyperlink ref="G1" location="'7.โครงการนิเทศ'!A1" display="โครงการนิเทศ"/>
  </hyperlinks>
  <pageMargins left="3.937007874015748E-2" right="3.937007874015748E-2" top="0.74803149606299213" bottom="0.74803149606299213" header="0.31496062992125984" footer="0.31496062992125984"/>
  <pageSetup paperSize="9" orientation="landscape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3"/>
  <sheetViews>
    <sheetView workbookViewId="0">
      <selection activeCell="F1" sqref="F1"/>
    </sheetView>
  </sheetViews>
  <sheetFormatPr defaultColWidth="9.109375" defaultRowHeight="24.6"/>
  <cols>
    <col min="1" max="1" width="15.5546875" style="3" customWidth="1"/>
    <col min="2" max="2" width="68.33203125" style="1" customWidth="1"/>
    <col min="3" max="3" width="15.77734375" style="4" customWidth="1"/>
    <col min="4" max="4" width="15.33203125" style="4" customWidth="1"/>
    <col min="5" max="5" width="14.6640625" style="4" customWidth="1"/>
    <col min="6" max="16384" width="9.109375" style="1"/>
  </cols>
  <sheetData>
    <row r="1" spans="1:6" ht="24" customHeight="1">
      <c r="A1" s="129" t="s">
        <v>93</v>
      </c>
      <c r="B1" s="130"/>
      <c r="C1" s="130"/>
      <c r="D1" s="130"/>
      <c r="E1" s="130"/>
      <c r="F1" s="6" t="s">
        <v>8</v>
      </c>
    </row>
    <row r="2" spans="1:6">
      <c r="A2" s="117" t="s">
        <v>94</v>
      </c>
      <c r="B2" s="117"/>
      <c r="C2" s="117"/>
      <c r="D2" s="117"/>
      <c r="E2" s="117"/>
    </row>
    <row r="3" spans="1:6" s="2" customFormat="1" ht="30" customHeight="1">
      <c r="A3" s="28" t="s">
        <v>0</v>
      </c>
      <c r="B3" s="28" t="s">
        <v>1</v>
      </c>
      <c r="C3" s="29" t="s">
        <v>18</v>
      </c>
      <c r="D3" s="29" t="s">
        <v>3</v>
      </c>
      <c r="E3" s="29" t="s">
        <v>4</v>
      </c>
    </row>
    <row r="4" spans="1:6">
      <c r="A4" s="30"/>
      <c r="B4" s="31" t="s">
        <v>19</v>
      </c>
      <c r="C4" s="32">
        <v>130000</v>
      </c>
      <c r="D4" s="32"/>
      <c r="E4" s="32">
        <f>C4-D4</f>
        <v>130000</v>
      </c>
    </row>
    <row r="5" spans="1:6" ht="24" customHeight="1">
      <c r="A5" s="61" t="s">
        <v>95</v>
      </c>
      <c r="B5" s="15" t="s">
        <v>97</v>
      </c>
      <c r="C5" s="34">
        <f>'กิจกรรมที่ 8.1'!D15</f>
        <v>108000</v>
      </c>
      <c r="D5" s="34">
        <f>'กิจกรรมที่ 8.1'!E15</f>
        <v>108000</v>
      </c>
      <c r="E5" s="34">
        <f>C5-D5</f>
        <v>0</v>
      </c>
    </row>
    <row r="6" spans="1:6" ht="24" customHeight="1">
      <c r="A6" s="61" t="s">
        <v>96</v>
      </c>
      <c r="B6" s="35" t="s">
        <v>101</v>
      </c>
      <c r="C6" s="34">
        <f>'กิจกรรมที่ 8.2'!D7</f>
        <v>22000</v>
      </c>
      <c r="D6" s="34">
        <f>'กิจกรรมที่ 8.2'!E7</f>
        <v>14786</v>
      </c>
      <c r="E6" s="34">
        <f t="shared" ref="E6:E7" si="0">C6-D6</f>
        <v>7214</v>
      </c>
    </row>
    <row r="7" spans="1:6">
      <c r="A7" s="118" t="s">
        <v>5</v>
      </c>
      <c r="B7" s="119"/>
      <c r="C7" s="32">
        <f>SUM(C5:C6)</f>
        <v>130000</v>
      </c>
      <c r="D7" s="32">
        <f>SUM(D5:D6)</f>
        <v>122786</v>
      </c>
      <c r="E7" s="32">
        <f t="shared" si="0"/>
        <v>7214</v>
      </c>
    </row>
    <row r="9" spans="1:6">
      <c r="A9" s="137" t="s">
        <v>24</v>
      </c>
      <c r="B9" s="137"/>
    </row>
    <row r="10" spans="1:6">
      <c r="B10" s="8"/>
    </row>
    <row r="11" spans="1:6">
      <c r="B11" s="8"/>
    </row>
    <row r="12" spans="1:6">
      <c r="B12" s="8"/>
    </row>
    <row r="13" spans="1:6">
      <c r="B13" s="8"/>
    </row>
  </sheetData>
  <mergeCells count="4">
    <mergeCell ref="A1:E1"/>
    <mergeCell ref="A2:E2"/>
    <mergeCell ref="A7:B7"/>
    <mergeCell ref="A9:B9"/>
  </mergeCells>
  <hyperlinks>
    <hyperlink ref="F1" location="หน้าหลัก!A1" display="หน้าหลัก"/>
    <hyperlink ref="A5" location="'กิจกรรมที่ 8.1'!A1" display="กิจกรรมที่ 8.1"/>
    <hyperlink ref="A6" location="'กิจกรรมที่ 8.2'!A1" display="กิจกรรมที่ 8.2"/>
  </hyperlinks>
  <pageMargins left="0.7" right="0.7" top="0.75" bottom="0.75" header="0.3" footer="0.3"/>
  <pageSetup paperSize="9" orientation="landscape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workbookViewId="0">
      <selection activeCell="G1" sqref="G1"/>
    </sheetView>
  </sheetViews>
  <sheetFormatPr defaultRowHeight="14.4"/>
  <cols>
    <col min="1" max="1" width="13.44140625" customWidth="1"/>
    <col min="2" max="2" width="15.88671875" customWidth="1"/>
    <col min="3" max="3" width="70.33203125" customWidth="1"/>
    <col min="4" max="4" width="12.88671875" customWidth="1"/>
    <col min="5" max="5" width="13.88671875" customWidth="1"/>
    <col min="6" max="6" width="12.77734375" customWidth="1"/>
  </cols>
  <sheetData>
    <row r="1" spans="1:7" ht="24" customHeight="1">
      <c r="A1" s="134" t="s">
        <v>97</v>
      </c>
      <c r="B1" s="135"/>
      <c r="C1" s="135"/>
      <c r="D1" s="135"/>
      <c r="E1" s="135"/>
      <c r="F1" s="135"/>
      <c r="G1" s="6" t="s">
        <v>100</v>
      </c>
    </row>
    <row r="2" spans="1:7" ht="24" customHeight="1">
      <c r="A2" s="59"/>
      <c r="B2" s="59"/>
      <c r="C2" s="59" t="s">
        <v>94</v>
      </c>
      <c r="D2" s="59"/>
      <c r="E2" s="59"/>
      <c r="F2" s="59"/>
      <c r="G2" s="6"/>
    </row>
    <row r="3" spans="1:7" ht="24.6">
      <c r="A3" s="21" t="s">
        <v>20</v>
      </c>
      <c r="B3" s="21" t="s">
        <v>21</v>
      </c>
      <c r="C3" s="21" t="s">
        <v>6</v>
      </c>
      <c r="D3" s="21" t="s">
        <v>14</v>
      </c>
      <c r="E3" s="21" t="s">
        <v>7</v>
      </c>
      <c r="F3" s="21" t="s">
        <v>4</v>
      </c>
    </row>
    <row r="4" spans="1:7" ht="24.6">
      <c r="A4" s="11"/>
      <c r="B4" s="11"/>
      <c r="C4" s="12" t="s">
        <v>97</v>
      </c>
      <c r="D4" s="13">
        <v>108000</v>
      </c>
      <c r="E4" s="13"/>
      <c r="F4" s="13">
        <f>D4-E4</f>
        <v>108000</v>
      </c>
    </row>
    <row r="5" spans="1:7" ht="72" customHeight="1">
      <c r="A5" s="14" t="s">
        <v>337</v>
      </c>
      <c r="B5" s="14" t="s">
        <v>338</v>
      </c>
      <c r="C5" s="80" t="s">
        <v>336</v>
      </c>
      <c r="D5" s="13"/>
      <c r="E5" s="13">
        <v>6000</v>
      </c>
      <c r="F5" s="13">
        <f>F4+D5-E5</f>
        <v>102000</v>
      </c>
    </row>
    <row r="6" spans="1:7" ht="72" customHeight="1">
      <c r="A6" s="14" t="s">
        <v>342</v>
      </c>
      <c r="B6" s="14" t="s">
        <v>343</v>
      </c>
      <c r="C6" s="80" t="s">
        <v>341</v>
      </c>
      <c r="D6" s="13"/>
      <c r="E6" s="13">
        <v>12000</v>
      </c>
      <c r="F6" s="13">
        <f>F5+D6-E6</f>
        <v>90000</v>
      </c>
    </row>
    <row r="7" spans="1:7" ht="72" customHeight="1">
      <c r="A7" s="14" t="s">
        <v>373</v>
      </c>
      <c r="B7" s="14" t="s">
        <v>374</v>
      </c>
      <c r="C7" s="80" t="s">
        <v>372</v>
      </c>
      <c r="D7" s="13"/>
      <c r="E7" s="13">
        <v>12000</v>
      </c>
      <c r="F7" s="13">
        <f t="shared" ref="F7:F13" si="0">F6+D7-E7</f>
        <v>78000</v>
      </c>
    </row>
    <row r="8" spans="1:7" ht="72" customHeight="1">
      <c r="A8" s="14" t="s">
        <v>380</v>
      </c>
      <c r="B8" s="14" t="s">
        <v>379</v>
      </c>
      <c r="C8" s="80" t="s">
        <v>378</v>
      </c>
      <c r="D8" s="13"/>
      <c r="E8" s="13">
        <v>6000</v>
      </c>
      <c r="F8" s="13">
        <f t="shared" si="0"/>
        <v>72000</v>
      </c>
    </row>
    <row r="9" spans="1:7" ht="72" customHeight="1">
      <c r="A9" s="14" t="s">
        <v>384</v>
      </c>
      <c r="B9" s="14" t="s">
        <v>386</v>
      </c>
      <c r="C9" s="80" t="s">
        <v>385</v>
      </c>
      <c r="D9" s="13"/>
      <c r="E9" s="13">
        <v>6000</v>
      </c>
      <c r="F9" s="13">
        <f t="shared" si="0"/>
        <v>66000</v>
      </c>
    </row>
    <row r="10" spans="1:7" ht="72" customHeight="1">
      <c r="A10" s="14" t="s">
        <v>398</v>
      </c>
      <c r="B10" s="14" t="s">
        <v>397</v>
      </c>
      <c r="C10" s="80" t="s">
        <v>394</v>
      </c>
      <c r="D10" s="13"/>
      <c r="E10" s="13">
        <v>12000</v>
      </c>
      <c r="F10" s="13">
        <f t="shared" si="0"/>
        <v>54000</v>
      </c>
    </row>
    <row r="11" spans="1:7" ht="72" customHeight="1">
      <c r="A11" s="14" t="s">
        <v>398</v>
      </c>
      <c r="B11" s="14" t="s">
        <v>396</v>
      </c>
      <c r="C11" s="80" t="s">
        <v>395</v>
      </c>
      <c r="D11" s="13"/>
      <c r="E11" s="13">
        <v>12000</v>
      </c>
      <c r="F11" s="13">
        <f t="shared" si="0"/>
        <v>42000</v>
      </c>
    </row>
    <row r="12" spans="1:7" ht="72" customHeight="1">
      <c r="A12" s="14" t="s">
        <v>400</v>
      </c>
      <c r="B12" s="14" t="s">
        <v>401</v>
      </c>
      <c r="C12" s="80" t="s">
        <v>399</v>
      </c>
      <c r="D12" s="13"/>
      <c r="E12" s="13">
        <v>6000</v>
      </c>
      <c r="F12" s="13">
        <f t="shared" si="0"/>
        <v>36000</v>
      </c>
    </row>
    <row r="13" spans="1:7" ht="120" customHeight="1">
      <c r="A13" s="14" t="s">
        <v>405</v>
      </c>
      <c r="B13" s="14" t="s">
        <v>407</v>
      </c>
      <c r="C13" s="80" t="s">
        <v>406</v>
      </c>
      <c r="D13" s="13"/>
      <c r="E13" s="13">
        <v>24000</v>
      </c>
      <c r="F13" s="13">
        <f t="shared" si="0"/>
        <v>12000</v>
      </c>
    </row>
    <row r="14" spans="1:7" ht="72" customHeight="1">
      <c r="A14" s="14" t="s">
        <v>428</v>
      </c>
      <c r="B14" s="14" t="s">
        <v>429</v>
      </c>
      <c r="C14" s="80" t="s">
        <v>427</v>
      </c>
      <c r="D14" s="13"/>
      <c r="E14" s="13">
        <v>12000</v>
      </c>
      <c r="F14" s="13"/>
    </row>
    <row r="15" spans="1:7" ht="24.6">
      <c r="A15" s="126" t="s">
        <v>5</v>
      </c>
      <c r="B15" s="127"/>
      <c r="C15" s="128"/>
      <c r="D15" s="38">
        <f>SUM(D4:D5)</f>
        <v>108000</v>
      </c>
      <c r="E15" s="38">
        <f>SUM(E5:E14)</f>
        <v>108000</v>
      </c>
      <c r="F15" s="38">
        <f>D15-E15</f>
        <v>0</v>
      </c>
    </row>
    <row r="16" spans="1:7" ht="24.6">
      <c r="A16" s="20"/>
      <c r="B16" s="20"/>
      <c r="C16" s="20"/>
      <c r="D16" s="20"/>
      <c r="E16" s="20"/>
      <c r="F16" s="20"/>
    </row>
    <row r="17" spans="1:6" ht="24.6">
      <c r="A17" s="20"/>
      <c r="B17" s="20"/>
      <c r="C17" s="20" t="s">
        <v>35</v>
      </c>
      <c r="D17" s="20"/>
      <c r="E17" s="20"/>
      <c r="F17" s="20"/>
    </row>
    <row r="18" spans="1:6" ht="24.6">
      <c r="A18" s="1"/>
      <c r="B18" s="1"/>
      <c r="C18" s="1"/>
      <c r="D18" s="1"/>
      <c r="E18" s="1"/>
      <c r="F18" s="1"/>
    </row>
    <row r="19" spans="1:6" ht="24.6">
      <c r="A19" s="1"/>
      <c r="B19" s="1"/>
      <c r="C19" s="1"/>
      <c r="D19" s="1"/>
      <c r="E19" s="1"/>
      <c r="F19" s="1"/>
    </row>
    <row r="20" spans="1:6" ht="24.6">
      <c r="A20" s="1"/>
      <c r="B20" s="1"/>
      <c r="C20" s="1" t="s">
        <v>15</v>
      </c>
      <c r="D20" s="1"/>
      <c r="E20" s="1"/>
      <c r="F20" s="1"/>
    </row>
    <row r="21" spans="1:6" ht="24.6">
      <c r="A21" s="1"/>
      <c r="B21" s="1"/>
      <c r="C21" s="1"/>
      <c r="D21" s="1"/>
      <c r="E21" s="1"/>
      <c r="F21" s="1"/>
    </row>
    <row r="22" spans="1:6" ht="24.6">
      <c r="A22" s="1"/>
      <c r="B22" s="1"/>
      <c r="C22" s="1"/>
      <c r="D22" s="1"/>
      <c r="E22" s="1"/>
      <c r="F22" s="1"/>
    </row>
    <row r="23" spans="1:6" ht="24.6">
      <c r="A23" s="1"/>
      <c r="B23" s="1"/>
      <c r="C23" s="1"/>
      <c r="D23" s="1"/>
      <c r="E23" s="1"/>
      <c r="F23" s="1"/>
    </row>
    <row r="24" spans="1:6" ht="24.6">
      <c r="A24" s="1"/>
      <c r="B24" s="1"/>
      <c r="C24" s="1"/>
      <c r="D24" s="1"/>
      <c r="E24" s="1"/>
      <c r="F24" s="1"/>
    </row>
    <row r="25" spans="1:6" ht="24.6">
      <c r="A25" s="1"/>
      <c r="B25" s="1"/>
      <c r="C25" s="1"/>
      <c r="D25" s="1"/>
      <c r="E25" s="1"/>
      <c r="F25" s="1"/>
    </row>
    <row r="26" spans="1:6" ht="24.6">
      <c r="A26" s="1"/>
      <c r="B26" s="1"/>
      <c r="C26" s="1"/>
      <c r="D26" s="1"/>
      <c r="E26" s="1"/>
      <c r="F26" s="1"/>
    </row>
    <row r="27" spans="1:6" ht="24.6">
      <c r="A27" s="1"/>
      <c r="B27" s="1"/>
      <c r="C27" s="1"/>
      <c r="D27" s="1"/>
      <c r="E27" s="1"/>
      <c r="F27" s="1"/>
    </row>
    <row r="28" spans="1:6" ht="24.6">
      <c r="A28" s="1"/>
      <c r="B28" s="1"/>
      <c r="C28" s="1"/>
      <c r="D28" s="1"/>
      <c r="E28" s="1"/>
      <c r="F28" s="1"/>
    </row>
    <row r="29" spans="1:6" ht="24.6">
      <c r="A29" s="1"/>
      <c r="B29" s="1"/>
      <c r="C29" s="1"/>
      <c r="D29" s="1"/>
      <c r="E29" s="1"/>
      <c r="F29" s="1"/>
    </row>
    <row r="30" spans="1:6" ht="24.6">
      <c r="A30" s="1"/>
      <c r="B30" s="1"/>
      <c r="C30" s="1"/>
      <c r="D30" s="1"/>
      <c r="E30" s="1"/>
      <c r="F30" s="1"/>
    </row>
    <row r="31" spans="1:6" ht="24.6">
      <c r="A31" s="1"/>
      <c r="B31" s="1"/>
      <c r="C31" s="1"/>
      <c r="D31" s="1"/>
      <c r="E31" s="1"/>
      <c r="F31" s="1"/>
    </row>
    <row r="32" spans="1:6" ht="24.6">
      <c r="A32" s="1"/>
      <c r="B32" s="1"/>
      <c r="C32" s="1"/>
      <c r="D32" s="1"/>
      <c r="E32" s="1"/>
      <c r="F32" s="1"/>
    </row>
    <row r="33" spans="1:6" ht="24.6">
      <c r="A33" s="1"/>
      <c r="B33" s="1"/>
      <c r="C33" s="1"/>
      <c r="D33" s="1"/>
      <c r="E33" s="1"/>
      <c r="F33" s="1"/>
    </row>
    <row r="34" spans="1:6" ht="24.6">
      <c r="A34" s="1"/>
      <c r="B34" s="1"/>
      <c r="C34" s="1"/>
      <c r="D34" s="1"/>
      <c r="E34" s="1"/>
      <c r="F34" s="1"/>
    </row>
    <row r="35" spans="1:6" ht="24.6">
      <c r="A35" s="1"/>
      <c r="B35" s="1"/>
      <c r="C35" s="1"/>
      <c r="D35" s="1"/>
      <c r="E35" s="1"/>
      <c r="F35" s="1"/>
    </row>
    <row r="36" spans="1:6" ht="24.6">
      <c r="A36" s="1"/>
      <c r="B36" s="1"/>
      <c r="C36" s="1"/>
      <c r="D36" s="1"/>
      <c r="E36" s="1"/>
      <c r="F36" s="1"/>
    </row>
    <row r="37" spans="1:6" ht="24.6">
      <c r="A37" s="1"/>
      <c r="B37" s="1"/>
      <c r="C37" s="1"/>
      <c r="D37" s="1"/>
      <c r="E37" s="1"/>
      <c r="F37" s="1"/>
    </row>
    <row r="38" spans="1:6" ht="24.6">
      <c r="A38" s="1"/>
      <c r="B38" s="1"/>
      <c r="C38" s="1"/>
      <c r="D38" s="1"/>
      <c r="E38" s="1"/>
      <c r="F38" s="1"/>
    </row>
    <row r="39" spans="1:6" ht="24.6">
      <c r="A39" s="1"/>
      <c r="B39" s="1"/>
      <c r="C39" s="1"/>
      <c r="D39" s="1"/>
      <c r="E39" s="1"/>
      <c r="F39" s="1"/>
    </row>
    <row r="40" spans="1:6" ht="24.6">
      <c r="A40" s="1"/>
      <c r="B40" s="1"/>
      <c r="C40" s="1"/>
      <c r="D40" s="1"/>
      <c r="E40" s="1"/>
      <c r="F40" s="1"/>
    </row>
    <row r="41" spans="1:6" ht="24.6">
      <c r="A41" s="1"/>
      <c r="B41" s="1"/>
      <c r="C41" s="1"/>
      <c r="D41" s="1"/>
      <c r="E41" s="1"/>
      <c r="F41" s="1"/>
    </row>
    <row r="42" spans="1:6" ht="24.6">
      <c r="A42" s="1"/>
      <c r="B42" s="1"/>
      <c r="C42" s="1"/>
      <c r="D42" s="1"/>
      <c r="E42" s="1"/>
      <c r="F42" s="1"/>
    </row>
    <row r="43" spans="1:6" ht="24.6">
      <c r="A43" s="1"/>
      <c r="B43" s="1"/>
      <c r="C43" s="1"/>
      <c r="D43" s="1"/>
      <c r="E43" s="1"/>
      <c r="F43" s="1"/>
    </row>
    <row r="44" spans="1:6" ht="24.6">
      <c r="A44" s="1"/>
      <c r="B44" s="1"/>
      <c r="C44" s="1"/>
      <c r="D44" s="1"/>
      <c r="E44" s="1"/>
      <c r="F44" s="1"/>
    </row>
    <row r="45" spans="1:6" ht="24.6">
      <c r="A45" s="1"/>
      <c r="B45" s="1"/>
      <c r="C45" s="1"/>
      <c r="D45" s="1"/>
      <c r="E45" s="1"/>
      <c r="F45" s="1"/>
    </row>
    <row r="46" spans="1:6" ht="24.6">
      <c r="A46" s="1"/>
      <c r="B46" s="1"/>
      <c r="C46" s="1"/>
      <c r="D46" s="1"/>
      <c r="E46" s="1"/>
      <c r="F46" s="1"/>
    </row>
    <row r="47" spans="1:6" ht="24.6">
      <c r="A47" s="1"/>
      <c r="B47" s="1"/>
      <c r="C47" s="1"/>
      <c r="D47" s="1"/>
      <c r="E47" s="1"/>
      <c r="F47" s="1"/>
    </row>
    <row r="48" spans="1:6" ht="24.6">
      <c r="A48" s="1"/>
      <c r="B48" s="1"/>
      <c r="C48" s="1"/>
      <c r="D48" s="1"/>
      <c r="E48" s="1"/>
      <c r="F48" s="1"/>
    </row>
    <row r="49" spans="1:6" ht="24.6">
      <c r="A49" s="1"/>
      <c r="B49" s="1"/>
      <c r="C49" s="1"/>
      <c r="D49" s="1"/>
      <c r="E49" s="1"/>
      <c r="F49" s="1"/>
    </row>
    <row r="50" spans="1:6" ht="24.6">
      <c r="A50" s="1"/>
      <c r="B50" s="1"/>
      <c r="C50" s="1"/>
      <c r="D50" s="1"/>
      <c r="E50" s="1"/>
      <c r="F50" s="1"/>
    </row>
    <row r="51" spans="1:6" ht="24.6">
      <c r="A51" s="1"/>
      <c r="B51" s="1"/>
      <c r="C51" s="1"/>
      <c r="D51" s="1"/>
      <c r="E51" s="1"/>
      <c r="F51" s="1"/>
    </row>
    <row r="52" spans="1:6" ht="24.6">
      <c r="A52" s="1"/>
      <c r="B52" s="1"/>
      <c r="C52" s="1"/>
      <c r="D52" s="1"/>
      <c r="E52" s="1"/>
      <c r="F52" s="1"/>
    </row>
    <row r="53" spans="1:6" ht="24.6">
      <c r="A53" s="1"/>
      <c r="B53" s="1"/>
      <c r="C53" s="1"/>
      <c r="D53" s="1"/>
      <c r="E53" s="1"/>
      <c r="F53" s="1"/>
    </row>
    <row r="54" spans="1:6" ht="24.6">
      <c r="A54" s="1"/>
      <c r="B54" s="1"/>
      <c r="C54" s="1"/>
      <c r="D54" s="1"/>
      <c r="E54" s="1"/>
      <c r="F54" s="1"/>
    </row>
  </sheetData>
  <mergeCells count="2">
    <mergeCell ref="A1:F1"/>
    <mergeCell ref="A15:C15"/>
  </mergeCells>
  <hyperlinks>
    <hyperlink ref="G1" location="'8.โครงการรับประเมิน'!A1" display="โครงการประเมิน"/>
  </hyperlinks>
  <pageMargins left="3.937007874015748E-2" right="3.937007874015748E-2" top="0.74803149606299213" bottom="0.74803149606299213" header="0.31496062992125984" footer="0.31496062992125984"/>
  <pageSetup paperSize="9" orientation="landscape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workbookViewId="0">
      <selection activeCell="G1" sqref="G1"/>
    </sheetView>
  </sheetViews>
  <sheetFormatPr defaultRowHeight="14.4"/>
  <cols>
    <col min="1" max="1" width="13.44140625" customWidth="1"/>
    <col min="2" max="2" width="15.88671875" customWidth="1"/>
    <col min="3" max="3" width="70.33203125" customWidth="1"/>
    <col min="4" max="4" width="12.88671875" customWidth="1"/>
    <col min="5" max="5" width="13.88671875" customWidth="1"/>
    <col min="6" max="6" width="12.77734375" customWidth="1"/>
  </cols>
  <sheetData>
    <row r="1" spans="1:7" ht="24" customHeight="1">
      <c r="A1" s="134" t="s">
        <v>98</v>
      </c>
      <c r="B1" s="135"/>
      <c r="C1" s="135"/>
      <c r="D1" s="135"/>
      <c r="E1" s="135"/>
      <c r="F1" s="135"/>
      <c r="G1" s="6" t="s">
        <v>100</v>
      </c>
    </row>
    <row r="2" spans="1:7" ht="24" customHeight="1">
      <c r="A2" s="59"/>
      <c r="B2" s="59"/>
      <c r="C2" s="59" t="s">
        <v>99</v>
      </c>
      <c r="D2" s="59"/>
      <c r="E2" s="59"/>
      <c r="F2" s="59"/>
      <c r="G2" s="6"/>
    </row>
    <row r="3" spans="1:7" ht="24.6">
      <c r="A3" s="21" t="s">
        <v>20</v>
      </c>
      <c r="B3" s="21" t="s">
        <v>21</v>
      </c>
      <c r="C3" s="21" t="s">
        <v>6</v>
      </c>
      <c r="D3" s="21" t="s">
        <v>14</v>
      </c>
      <c r="E3" s="21" t="s">
        <v>7</v>
      </c>
      <c r="F3" s="21" t="s">
        <v>4</v>
      </c>
    </row>
    <row r="4" spans="1:7" ht="24.6">
      <c r="A4" s="11"/>
      <c r="B4" s="11"/>
      <c r="C4" s="12" t="s">
        <v>98</v>
      </c>
      <c r="D4" s="13">
        <v>22000</v>
      </c>
      <c r="E4" s="13"/>
      <c r="F4" s="13">
        <f>D4-E4</f>
        <v>22000</v>
      </c>
    </row>
    <row r="5" spans="1:7" ht="72" customHeight="1">
      <c r="A5" s="14" t="s">
        <v>481</v>
      </c>
      <c r="B5" s="14" t="s">
        <v>492</v>
      </c>
      <c r="C5" s="15" t="s">
        <v>491</v>
      </c>
      <c r="D5" s="13"/>
      <c r="E5" s="13">
        <v>3600</v>
      </c>
      <c r="F5" s="13">
        <f>F4+D5-E5</f>
        <v>18400</v>
      </c>
    </row>
    <row r="6" spans="1:7" ht="72" customHeight="1">
      <c r="A6" s="14" t="s">
        <v>562</v>
      </c>
      <c r="B6" s="14" t="s">
        <v>568</v>
      </c>
      <c r="C6" s="15" t="s">
        <v>569</v>
      </c>
      <c r="D6" s="13"/>
      <c r="E6" s="13">
        <v>11186</v>
      </c>
      <c r="F6" s="13">
        <f>F5+D6-E6</f>
        <v>7214</v>
      </c>
    </row>
    <row r="7" spans="1:7" ht="24.6">
      <c r="A7" s="126" t="s">
        <v>5</v>
      </c>
      <c r="B7" s="127"/>
      <c r="C7" s="128"/>
      <c r="D7" s="38">
        <f>SUM(D4:D5)</f>
        <v>22000</v>
      </c>
      <c r="E7" s="38">
        <f>SUM(E4:E6)</f>
        <v>14786</v>
      </c>
      <c r="F7" s="38">
        <f>D7-E7</f>
        <v>7214</v>
      </c>
    </row>
    <row r="8" spans="1:7" ht="24.6">
      <c r="A8" s="20"/>
      <c r="B8" s="20"/>
      <c r="C8" s="20"/>
      <c r="D8" s="20"/>
      <c r="E8" s="20"/>
      <c r="F8" s="20"/>
    </row>
    <row r="9" spans="1:7" ht="24.6">
      <c r="A9" s="20"/>
      <c r="B9" s="20"/>
      <c r="C9" s="20" t="s">
        <v>35</v>
      </c>
      <c r="D9" s="20"/>
      <c r="E9" s="20"/>
      <c r="F9" s="20"/>
    </row>
    <row r="10" spans="1:7" ht="24.6">
      <c r="A10" s="1"/>
      <c r="B10" s="1"/>
      <c r="C10" s="1"/>
      <c r="D10" s="1"/>
      <c r="E10" s="1"/>
      <c r="F10" s="1"/>
    </row>
    <row r="11" spans="1:7" ht="24.6">
      <c r="A11" s="1"/>
      <c r="B11" s="1"/>
      <c r="C11" s="1"/>
      <c r="D11" s="1"/>
      <c r="E11" s="1"/>
      <c r="F11" s="1"/>
    </row>
    <row r="12" spans="1:7" ht="24.6">
      <c r="A12" s="1"/>
      <c r="B12" s="1"/>
      <c r="C12" s="1" t="s">
        <v>15</v>
      </c>
      <c r="D12" s="1"/>
      <c r="E12" s="1"/>
      <c r="F12" s="1"/>
    </row>
    <row r="13" spans="1:7" ht="24.6">
      <c r="A13" s="1"/>
      <c r="B13" s="1"/>
      <c r="C13" s="1"/>
      <c r="D13" s="1"/>
      <c r="E13" s="1"/>
      <c r="F13" s="1"/>
    </row>
    <row r="14" spans="1:7" ht="24.6">
      <c r="A14" s="1"/>
      <c r="B14" s="1"/>
      <c r="C14" s="1"/>
      <c r="D14" s="1"/>
      <c r="E14" s="1"/>
      <c r="F14" s="1"/>
    </row>
    <row r="15" spans="1:7" ht="24.6">
      <c r="A15" s="1"/>
      <c r="B15" s="1"/>
      <c r="C15" s="1"/>
      <c r="D15" s="1"/>
      <c r="E15" s="1"/>
      <c r="F15" s="1"/>
    </row>
    <row r="16" spans="1:7" ht="24.6">
      <c r="A16" s="1"/>
      <c r="B16" s="1"/>
      <c r="C16" s="1"/>
      <c r="D16" s="1"/>
      <c r="E16" s="1"/>
      <c r="F16" s="1"/>
    </row>
    <row r="17" spans="1:6" ht="24.6">
      <c r="A17" s="1"/>
      <c r="B17" s="1"/>
      <c r="C17" s="1"/>
      <c r="D17" s="1"/>
      <c r="E17" s="1"/>
      <c r="F17" s="1"/>
    </row>
    <row r="18" spans="1:6" ht="24.6">
      <c r="A18" s="1"/>
      <c r="B18" s="1"/>
      <c r="C18" s="1"/>
      <c r="D18" s="1"/>
      <c r="E18" s="1"/>
      <c r="F18" s="1"/>
    </row>
    <row r="19" spans="1:6" ht="24.6">
      <c r="A19" s="1"/>
      <c r="B19" s="1"/>
      <c r="C19" s="1"/>
      <c r="D19" s="1"/>
      <c r="E19" s="1"/>
      <c r="F19" s="1"/>
    </row>
    <row r="20" spans="1:6" ht="24.6">
      <c r="A20" s="1"/>
      <c r="B20" s="1"/>
      <c r="C20" s="1"/>
      <c r="D20" s="1"/>
      <c r="E20" s="1"/>
      <c r="F20" s="1"/>
    </row>
    <row r="21" spans="1:6" ht="24.6">
      <c r="A21" s="1"/>
      <c r="B21" s="1"/>
      <c r="C21" s="1"/>
      <c r="D21" s="1"/>
      <c r="E21" s="1"/>
      <c r="F21" s="1"/>
    </row>
    <row r="22" spans="1:6" ht="24.6">
      <c r="A22" s="1"/>
      <c r="B22" s="1"/>
      <c r="C22" s="1"/>
      <c r="D22" s="1"/>
      <c r="E22" s="1"/>
      <c r="F22" s="1"/>
    </row>
    <row r="23" spans="1:6" ht="24.6">
      <c r="A23" s="1"/>
      <c r="B23" s="1"/>
      <c r="C23" s="1"/>
      <c r="D23" s="1"/>
      <c r="E23" s="1"/>
      <c r="F23" s="1"/>
    </row>
    <row r="24" spans="1:6" ht="24.6">
      <c r="A24" s="1"/>
      <c r="B24" s="1"/>
      <c r="C24" s="1"/>
      <c r="D24" s="1"/>
      <c r="E24" s="1"/>
      <c r="F24" s="1"/>
    </row>
    <row r="25" spans="1:6" ht="24.6">
      <c r="A25" s="1"/>
      <c r="B25" s="1"/>
      <c r="C25" s="1"/>
      <c r="D25" s="1"/>
      <c r="E25" s="1"/>
      <c r="F25" s="1"/>
    </row>
    <row r="26" spans="1:6" ht="24.6">
      <c r="A26" s="1"/>
      <c r="B26" s="1"/>
      <c r="C26" s="1"/>
      <c r="D26" s="1"/>
      <c r="E26" s="1"/>
      <c r="F26" s="1"/>
    </row>
    <row r="27" spans="1:6" ht="24.6">
      <c r="A27" s="1"/>
      <c r="B27" s="1"/>
      <c r="C27" s="1"/>
      <c r="D27" s="1"/>
      <c r="E27" s="1"/>
      <c r="F27" s="1"/>
    </row>
    <row r="28" spans="1:6" ht="24.6">
      <c r="A28" s="1"/>
      <c r="B28" s="1"/>
      <c r="C28" s="1"/>
      <c r="D28" s="1"/>
      <c r="E28" s="1"/>
      <c r="F28" s="1"/>
    </row>
    <row r="29" spans="1:6" ht="24.6">
      <c r="A29" s="1"/>
      <c r="B29" s="1"/>
      <c r="C29" s="1"/>
      <c r="D29" s="1"/>
      <c r="E29" s="1"/>
      <c r="F29" s="1"/>
    </row>
    <row r="30" spans="1:6" ht="24.6">
      <c r="A30" s="1"/>
      <c r="B30" s="1"/>
      <c r="C30" s="1"/>
      <c r="D30" s="1"/>
      <c r="E30" s="1"/>
      <c r="F30" s="1"/>
    </row>
    <row r="31" spans="1:6" ht="24.6">
      <c r="A31" s="1"/>
      <c r="B31" s="1"/>
      <c r="C31" s="1"/>
      <c r="D31" s="1"/>
      <c r="E31" s="1"/>
      <c r="F31" s="1"/>
    </row>
    <row r="32" spans="1:6" ht="24.6">
      <c r="A32" s="1"/>
      <c r="B32" s="1"/>
      <c r="C32" s="1"/>
      <c r="D32" s="1"/>
      <c r="E32" s="1"/>
      <c r="F32" s="1"/>
    </row>
    <row r="33" spans="1:6" ht="24.6">
      <c r="A33" s="1"/>
      <c r="B33" s="1"/>
      <c r="C33" s="1"/>
      <c r="D33" s="1"/>
      <c r="E33" s="1"/>
      <c r="F33" s="1"/>
    </row>
    <row r="34" spans="1:6" ht="24.6">
      <c r="A34" s="1"/>
      <c r="B34" s="1"/>
      <c r="C34" s="1"/>
      <c r="D34" s="1"/>
      <c r="E34" s="1"/>
      <c r="F34" s="1"/>
    </row>
    <row r="35" spans="1:6" ht="24.6">
      <c r="A35" s="1"/>
      <c r="B35" s="1"/>
      <c r="C35" s="1"/>
      <c r="D35" s="1"/>
      <c r="E35" s="1"/>
      <c r="F35" s="1"/>
    </row>
    <row r="36" spans="1:6" ht="24.6">
      <c r="A36" s="1"/>
      <c r="B36" s="1"/>
      <c r="C36" s="1"/>
      <c r="D36" s="1"/>
      <c r="E36" s="1"/>
      <c r="F36" s="1"/>
    </row>
    <row r="37" spans="1:6" ht="24.6">
      <c r="A37" s="1"/>
      <c r="B37" s="1"/>
      <c r="C37" s="1"/>
      <c r="D37" s="1"/>
      <c r="E37" s="1"/>
      <c r="F37" s="1"/>
    </row>
    <row r="38" spans="1:6" ht="24.6">
      <c r="A38" s="1"/>
      <c r="B38" s="1"/>
      <c r="C38" s="1"/>
      <c r="D38" s="1"/>
      <c r="E38" s="1"/>
      <c r="F38" s="1"/>
    </row>
    <row r="39" spans="1:6" ht="24.6">
      <c r="A39" s="1"/>
      <c r="B39" s="1"/>
      <c r="C39" s="1"/>
      <c r="D39" s="1"/>
      <c r="E39" s="1"/>
      <c r="F39" s="1"/>
    </row>
    <row r="40" spans="1:6" ht="24.6">
      <c r="A40" s="1"/>
      <c r="B40" s="1"/>
      <c r="C40" s="1"/>
      <c r="D40" s="1"/>
      <c r="E40" s="1"/>
      <c r="F40" s="1"/>
    </row>
    <row r="41" spans="1:6" ht="24.6">
      <c r="A41" s="1"/>
      <c r="B41" s="1"/>
      <c r="C41" s="1"/>
      <c r="D41" s="1"/>
      <c r="E41" s="1"/>
      <c r="F41" s="1"/>
    </row>
    <row r="42" spans="1:6" ht="24.6">
      <c r="A42" s="1"/>
      <c r="B42" s="1"/>
      <c r="C42" s="1"/>
      <c r="D42" s="1"/>
      <c r="E42" s="1"/>
      <c r="F42" s="1"/>
    </row>
    <row r="43" spans="1:6" ht="24.6">
      <c r="A43" s="1"/>
      <c r="B43" s="1"/>
      <c r="C43" s="1"/>
      <c r="D43" s="1"/>
      <c r="E43" s="1"/>
      <c r="F43" s="1"/>
    </row>
    <row r="44" spans="1:6" ht="24.6">
      <c r="A44" s="1"/>
      <c r="B44" s="1"/>
      <c r="C44" s="1"/>
      <c r="D44" s="1"/>
      <c r="E44" s="1"/>
      <c r="F44" s="1"/>
    </row>
    <row r="45" spans="1:6" ht="24.6">
      <c r="A45" s="1"/>
      <c r="B45" s="1"/>
      <c r="C45" s="1"/>
      <c r="D45" s="1"/>
      <c r="E45" s="1"/>
      <c r="F45" s="1"/>
    </row>
    <row r="46" spans="1:6" ht="24.6">
      <c r="A46" s="1"/>
      <c r="B46" s="1"/>
      <c r="C46" s="1"/>
      <c r="D46" s="1"/>
      <c r="E46" s="1"/>
      <c r="F46" s="1"/>
    </row>
  </sheetData>
  <mergeCells count="2">
    <mergeCell ref="A1:F1"/>
    <mergeCell ref="A7:C7"/>
  </mergeCells>
  <hyperlinks>
    <hyperlink ref="G1" location="'8.โครงการรับประเมิน'!A1" display="โครงการประเมิน"/>
  </hyperlinks>
  <pageMargins left="3.937007874015748E-2" right="3.937007874015748E-2" top="0.74803149606299213" bottom="0.74803149606299213" header="0.31496062992125984" footer="0.31496062992125984"/>
  <pageSetup paperSize="9" orientation="landscape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H54"/>
  <sheetViews>
    <sheetView workbookViewId="0">
      <selection activeCell="G1" sqref="G1"/>
    </sheetView>
  </sheetViews>
  <sheetFormatPr defaultRowHeight="14.4"/>
  <cols>
    <col min="1" max="1" width="13.44140625" customWidth="1"/>
    <col min="2" max="2" width="15.88671875" customWidth="1"/>
    <col min="3" max="3" width="70.33203125" customWidth="1"/>
    <col min="4" max="4" width="12.88671875" customWidth="1"/>
    <col min="5" max="5" width="13.88671875" customWidth="1"/>
    <col min="6" max="6" width="12.77734375" customWidth="1"/>
    <col min="8" max="8" width="9.109375" bestFit="1" customWidth="1"/>
  </cols>
  <sheetData>
    <row r="1" spans="1:8" ht="24.6">
      <c r="A1" s="138" t="s">
        <v>104</v>
      </c>
      <c r="B1" s="139"/>
      <c r="C1" s="139"/>
      <c r="D1" s="139"/>
      <c r="E1" s="139"/>
      <c r="F1" s="139"/>
      <c r="G1" s="6" t="s">
        <v>8</v>
      </c>
    </row>
    <row r="2" spans="1:8" ht="24" customHeight="1">
      <c r="A2" s="140" t="s">
        <v>103</v>
      </c>
      <c r="B2" s="140"/>
      <c r="C2" s="140"/>
      <c r="D2" s="140"/>
      <c r="E2" s="140"/>
      <c r="F2" s="140"/>
      <c r="G2" s="6"/>
    </row>
    <row r="3" spans="1:8" ht="24.6">
      <c r="A3" s="5" t="s">
        <v>20</v>
      </c>
      <c r="B3" s="5" t="s">
        <v>21</v>
      </c>
      <c r="C3" s="5" t="s">
        <v>6</v>
      </c>
      <c r="D3" s="5" t="s">
        <v>2</v>
      </c>
      <c r="E3" s="5" t="s">
        <v>7</v>
      </c>
      <c r="F3" s="5" t="s">
        <v>4</v>
      </c>
    </row>
    <row r="4" spans="1:8" ht="24.6">
      <c r="A4" s="11"/>
      <c r="B4" s="11"/>
      <c r="C4" s="12" t="s">
        <v>102</v>
      </c>
      <c r="D4" s="13">
        <v>120600</v>
      </c>
      <c r="E4" s="13"/>
      <c r="F4" s="13">
        <f>D4-E4</f>
        <v>120600</v>
      </c>
    </row>
    <row r="5" spans="1:8" ht="48" customHeight="1">
      <c r="A5" s="14" t="s">
        <v>107</v>
      </c>
      <c r="B5" s="14" t="s">
        <v>108</v>
      </c>
      <c r="C5" s="15" t="s">
        <v>109</v>
      </c>
      <c r="D5" s="13"/>
      <c r="E5" s="13">
        <v>11800</v>
      </c>
      <c r="F5" s="13">
        <f>F4+D5-E5</f>
        <v>108800</v>
      </c>
    </row>
    <row r="6" spans="1:8" ht="73.8">
      <c r="A6" s="14" t="s">
        <v>110</v>
      </c>
      <c r="B6" s="14" t="s">
        <v>111</v>
      </c>
      <c r="C6" s="15" t="s">
        <v>112</v>
      </c>
      <c r="D6" s="13"/>
      <c r="E6" s="13">
        <v>12300</v>
      </c>
      <c r="F6" s="13">
        <f t="shared" ref="F6:F14" si="0">F5+D6-E6</f>
        <v>96500</v>
      </c>
    </row>
    <row r="7" spans="1:8" ht="73.8">
      <c r="A7" s="14" t="s">
        <v>113</v>
      </c>
      <c r="B7" s="14" t="s">
        <v>114</v>
      </c>
      <c r="C7" s="15" t="s">
        <v>115</v>
      </c>
      <c r="D7" s="13"/>
      <c r="E7" s="13">
        <v>12800</v>
      </c>
      <c r="F7" s="13">
        <f t="shared" si="0"/>
        <v>83700</v>
      </c>
    </row>
    <row r="8" spans="1:8" ht="73.8">
      <c r="A8" s="14" t="s">
        <v>123</v>
      </c>
      <c r="B8" s="14" t="s">
        <v>124</v>
      </c>
      <c r="C8" s="15" t="s">
        <v>125</v>
      </c>
      <c r="D8" s="13"/>
      <c r="E8" s="13">
        <v>12800</v>
      </c>
      <c r="F8" s="13">
        <f t="shared" si="0"/>
        <v>70900</v>
      </c>
    </row>
    <row r="9" spans="1:8" ht="73.8">
      <c r="A9" s="14" t="s">
        <v>140</v>
      </c>
      <c r="B9" s="14" t="s">
        <v>149</v>
      </c>
      <c r="C9" s="15" t="s">
        <v>150</v>
      </c>
      <c r="D9" s="13"/>
      <c r="E9" s="13">
        <v>11600</v>
      </c>
      <c r="F9" s="13">
        <f t="shared" si="0"/>
        <v>59300</v>
      </c>
    </row>
    <row r="10" spans="1:8" ht="73.8">
      <c r="A10" s="14" t="s">
        <v>224</v>
      </c>
      <c r="B10" s="14" t="s">
        <v>223</v>
      </c>
      <c r="C10" s="15" t="s">
        <v>225</v>
      </c>
      <c r="D10" s="13"/>
      <c r="E10" s="13">
        <v>11600</v>
      </c>
      <c r="F10" s="13">
        <f t="shared" si="0"/>
        <v>47700</v>
      </c>
    </row>
    <row r="11" spans="1:8" ht="73.8">
      <c r="A11" s="14" t="s">
        <v>265</v>
      </c>
      <c r="B11" s="14" t="s">
        <v>264</v>
      </c>
      <c r="C11" s="15" t="s">
        <v>266</v>
      </c>
      <c r="D11" s="13"/>
      <c r="E11" s="13">
        <v>12800</v>
      </c>
      <c r="F11" s="13">
        <f t="shared" si="0"/>
        <v>34900</v>
      </c>
    </row>
    <row r="12" spans="1:8" ht="98.4">
      <c r="A12" s="14" t="s">
        <v>303</v>
      </c>
      <c r="B12" s="14" t="s">
        <v>304</v>
      </c>
      <c r="C12" s="15" t="s">
        <v>302</v>
      </c>
      <c r="D12" s="13"/>
      <c r="E12" s="13">
        <v>12800</v>
      </c>
      <c r="F12" s="13">
        <f t="shared" si="0"/>
        <v>22100</v>
      </c>
    </row>
    <row r="13" spans="1:8" ht="73.8">
      <c r="A13" s="14" t="s">
        <v>328</v>
      </c>
      <c r="B13" s="14" t="s">
        <v>332</v>
      </c>
      <c r="C13" s="15" t="s">
        <v>331</v>
      </c>
      <c r="D13" s="13"/>
      <c r="E13" s="13">
        <v>12800</v>
      </c>
      <c r="F13" s="13">
        <f t="shared" si="0"/>
        <v>9300</v>
      </c>
      <c r="H13" s="76"/>
    </row>
    <row r="14" spans="1:8" ht="73.8">
      <c r="A14" s="79" t="s">
        <v>440</v>
      </c>
      <c r="B14" s="79" t="s">
        <v>441</v>
      </c>
      <c r="C14" s="50" t="s">
        <v>439</v>
      </c>
      <c r="D14" s="78"/>
      <c r="E14" s="78">
        <v>9300</v>
      </c>
      <c r="F14" s="78">
        <f t="shared" si="0"/>
        <v>0</v>
      </c>
    </row>
    <row r="15" spans="1:8" ht="24.6">
      <c r="A15" s="122" t="s">
        <v>5</v>
      </c>
      <c r="B15" s="123"/>
      <c r="C15" s="124"/>
      <c r="D15" s="7">
        <f>SUM(D4:D10)</f>
        <v>120600</v>
      </c>
      <c r="E15" s="7">
        <f>SUM(E5:E14)</f>
        <v>120600</v>
      </c>
      <c r="F15" s="7">
        <f>D15-E15</f>
        <v>0</v>
      </c>
    </row>
    <row r="16" spans="1:8" ht="24.6">
      <c r="A16" s="1"/>
      <c r="B16" s="1"/>
      <c r="C16" s="1"/>
      <c r="D16" s="1"/>
      <c r="E16" s="1"/>
      <c r="F16" s="1"/>
    </row>
    <row r="17" spans="1:6" ht="24.6">
      <c r="A17" s="1"/>
      <c r="B17" s="1"/>
      <c r="C17" s="1" t="s">
        <v>16</v>
      </c>
      <c r="D17" s="1"/>
      <c r="E17" s="1"/>
      <c r="F17" s="1"/>
    </row>
    <row r="18" spans="1:6" ht="24.6">
      <c r="A18" s="1"/>
      <c r="B18" s="1"/>
      <c r="C18" s="1" t="s">
        <v>37</v>
      </c>
      <c r="D18" s="1"/>
      <c r="E18" s="1"/>
      <c r="F18" s="1"/>
    </row>
    <row r="19" spans="1:6" ht="24.6">
      <c r="A19" s="1"/>
      <c r="B19" s="1"/>
      <c r="C19" s="1"/>
      <c r="D19" s="1"/>
      <c r="E19" s="1"/>
      <c r="F19" s="1"/>
    </row>
    <row r="20" spans="1:6" ht="24.6">
      <c r="A20" s="1"/>
      <c r="B20" s="1"/>
      <c r="C20" s="1" t="s">
        <v>15</v>
      </c>
      <c r="D20" s="1"/>
      <c r="E20" s="1"/>
      <c r="F20" s="1"/>
    </row>
    <row r="21" spans="1:6" ht="24.6">
      <c r="A21" s="1"/>
      <c r="B21" s="1"/>
      <c r="C21" s="1"/>
      <c r="D21" s="1"/>
      <c r="E21" s="1"/>
      <c r="F21" s="1"/>
    </row>
    <row r="22" spans="1:6" ht="24.6">
      <c r="A22" s="1"/>
      <c r="B22" s="1"/>
      <c r="C22" s="1"/>
      <c r="D22" s="1"/>
      <c r="E22" s="1"/>
      <c r="F22" s="1"/>
    </row>
    <row r="23" spans="1:6" ht="24.6">
      <c r="A23" s="1"/>
      <c r="B23" s="1"/>
      <c r="C23" s="1"/>
      <c r="D23" s="1"/>
      <c r="E23" s="1"/>
      <c r="F23" s="1"/>
    </row>
    <row r="24" spans="1:6" ht="24.6">
      <c r="A24" s="1"/>
      <c r="B24" s="1"/>
      <c r="C24" s="1"/>
      <c r="D24" s="1"/>
      <c r="E24" s="1"/>
      <c r="F24" s="1"/>
    </row>
    <row r="25" spans="1:6" ht="24.6">
      <c r="A25" s="1"/>
      <c r="B25" s="1"/>
      <c r="C25" s="1"/>
      <c r="D25" s="1"/>
      <c r="E25" s="1"/>
      <c r="F25" s="1"/>
    </row>
    <row r="26" spans="1:6" ht="24.6">
      <c r="A26" s="1"/>
      <c r="B26" s="1"/>
      <c r="C26" s="1"/>
      <c r="D26" s="1"/>
      <c r="E26" s="1"/>
      <c r="F26" s="1"/>
    </row>
    <row r="27" spans="1:6" ht="24.6">
      <c r="A27" s="1"/>
      <c r="B27" s="1"/>
      <c r="C27" s="1"/>
      <c r="D27" s="1"/>
      <c r="E27" s="1"/>
      <c r="F27" s="1"/>
    </row>
    <row r="28" spans="1:6" ht="24.6">
      <c r="A28" s="1"/>
      <c r="B28" s="1"/>
      <c r="C28" s="1"/>
      <c r="D28" s="1"/>
      <c r="E28" s="1"/>
      <c r="F28" s="1"/>
    </row>
    <row r="29" spans="1:6" ht="24.6">
      <c r="A29" s="1"/>
      <c r="B29" s="1"/>
      <c r="C29" s="1"/>
      <c r="D29" s="1"/>
      <c r="E29" s="1"/>
      <c r="F29" s="1"/>
    </row>
    <row r="30" spans="1:6" ht="24.6">
      <c r="A30" s="1"/>
      <c r="B30" s="1"/>
      <c r="C30" s="1"/>
      <c r="D30" s="1"/>
      <c r="E30" s="1"/>
      <c r="F30" s="1"/>
    </row>
    <row r="31" spans="1:6" ht="24.6">
      <c r="A31" s="1"/>
      <c r="B31" s="1"/>
      <c r="C31" s="1"/>
      <c r="D31" s="1"/>
      <c r="E31" s="1"/>
      <c r="F31" s="1"/>
    </row>
    <row r="32" spans="1:6" ht="24.6">
      <c r="A32" s="1"/>
      <c r="B32" s="1"/>
      <c r="C32" s="1"/>
      <c r="D32" s="1"/>
      <c r="E32" s="1"/>
      <c r="F32" s="1"/>
    </row>
    <row r="33" spans="1:6" ht="24.6">
      <c r="A33" s="1"/>
      <c r="B33" s="1"/>
      <c r="C33" s="1"/>
      <c r="D33" s="1"/>
      <c r="E33" s="1"/>
      <c r="F33" s="1"/>
    </row>
    <row r="34" spans="1:6" ht="24.6">
      <c r="A34" s="1"/>
      <c r="B34" s="1"/>
      <c r="C34" s="1"/>
      <c r="D34" s="1"/>
      <c r="E34" s="1"/>
      <c r="F34" s="1"/>
    </row>
    <row r="35" spans="1:6" ht="24.6">
      <c r="A35" s="1"/>
      <c r="B35" s="1"/>
      <c r="C35" s="1"/>
      <c r="D35" s="1"/>
      <c r="E35" s="1"/>
      <c r="F35" s="1"/>
    </row>
    <row r="36" spans="1:6" ht="24.6">
      <c r="A36" s="1"/>
      <c r="B36" s="1"/>
      <c r="C36" s="1"/>
      <c r="D36" s="1"/>
      <c r="E36" s="1"/>
      <c r="F36" s="1"/>
    </row>
    <row r="37" spans="1:6" ht="24.6">
      <c r="A37" s="1"/>
      <c r="B37" s="1"/>
      <c r="C37" s="1"/>
      <c r="D37" s="1"/>
      <c r="E37" s="1"/>
      <c r="F37" s="1"/>
    </row>
    <row r="38" spans="1:6" ht="24.6">
      <c r="A38" s="1"/>
      <c r="B38" s="1"/>
      <c r="C38" s="1"/>
      <c r="D38" s="1"/>
      <c r="E38" s="1"/>
      <c r="F38" s="1"/>
    </row>
    <row r="39" spans="1:6" ht="24.6">
      <c r="A39" s="1"/>
      <c r="B39" s="1"/>
      <c r="C39" s="1"/>
      <c r="D39" s="1"/>
      <c r="E39" s="1"/>
      <c r="F39" s="1"/>
    </row>
    <row r="40" spans="1:6" ht="24.6">
      <c r="A40" s="1"/>
      <c r="B40" s="1"/>
      <c r="C40" s="1"/>
      <c r="D40" s="1"/>
      <c r="E40" s="1"/>
      <c r="F40" s="1"/>
    </row>
    <row r="41" spans="1:6" ht="24.6">
      <c r="A41" s="1"/>
      <c r="B41" s="1"/>
      <c r="C41" s="1"/>
      <c r="D41" s="1"/>
      <c r="E41" s="1"/>
      <c r="F41" s="1"/>
    </row>
    <row r="42" spans="1:6" ht="24.6">
      <c r="A42" s="1"/>
      <c r="B42" s="1"/>
      <c r="C42" s="1"/>
      <c r="D42" s="1"/>
      <c r="E42" s="1"/>
      <c r="F42" s="1"/>
    </row>
    <row r="43" spans="1:6" ht="24.6">
      <c r="A43" s="1"/>
      <c r="B43" s="1"/>
      <c r="C43" s="1"/>
      <c r="D43" s="1"/>
      <c r="E43" s="1"/>
      <c r="F43" s="1"/>
    </row>
    <row r="44" spans="1:6" ht="24.6">
      <c r="A44" s="1"/>
      <c r="B44" s="1"/>
      <c r="C44" s="1"/>
      <c r="D44" s="1"/>
      <c r="E44" s="1"/>
      <c r="F44" s="1"/>
    </row>
    <row r="45" spans="1:6" ht="24.6">
      <c r="A45" s="1"/>
      <c r="B45" s="1"/>
      <c r="C45" s="1"/>
      <c r="D45" s="1"/>
      <c r="E45" s="1"/>
      <c r="F45" s="1"/>
    </row>
    <row r="46" spans="1:6" ht="24.6">
      <c r="A46" s="1"/>
      <c r="B46" s="1"/>
      <c r="C46" s="1"/>
      <c r="D46" s="1"/>
      <c r="E46" s="1"/>
      <c r="F46" s="1"/>
    </row>
    <row r="47" spans="1:6" ht="24.6">
      <c r="A47" s="1"/>
      <c r="B47" s="1"/>
      <c r="C47" s="1"/>
      <c r="D47" s="1"/>
      <c r="E47" s="1"/>
      <c r="F47" s="1"/>
    </row>
    <row r="48" spans="1:6" ht="24.6">
      <c r="A48" s="1"/>
      <c r="B48" s="1"/>
      <c r="C48" s="1"/>
      <c r="D48" s="1"/>
      <c r="E48" s="1"/>
      <c r="F48" s="1"/>
    </row>
    <row r="49" spans="1:6" ht="24.6">
      <c r="A49" s="1"/>
      <c r="B49" s="1"/>
      <c r="C49" s="1"/>
      <c r="D49" s="1"/>
      <c r="E49" s="1"/>
      <c r="F49" s="1"/>
    </row>
    <row r="50" spans="1:6" ht="24.6">
      <c r="A50" s="1"/>
      <c r="B50" s="1"/>
      <c r="C50" s="1"/>
      <c r="D50" s="1"/>
      <c r="E50" s="1"/>
      <c r="F50" s="1"/>
    </row>
    <row r="51" spans="1:6" ht="24.6">
      <c r="A51" s="1"/>
      <c r="B51" s="1"/>
      <c r="C51" s="1"/>
      <c r="D51" s="1"/>
      <c r="E51" s="1"/>
      <c r="F51" s="1"/>
    </row>
    <row r="52" spans="1:6" ht="24.6">
      <c r="A52" s="1"/>
      <c r="B52" s="1"/>
      <c r="C52" s="1"/>
      <c r="D52" s="1"/>
      <c r="E52" s="1"/>
      <c r="F52" s="1"/>
    </row>
    <row r="53" spans="1:6" ht="24.6">
      <c r="A53" s="1"/>
      <c r="B53" s="1"/>
      <c r="C53" s="1"/>
      <c r="D53" s="1"/>
      <c r="E53" s="1"/>
      <c r="F53" s="1"/>
    </row>
    <row r="54" spans="1:6" ht="24.6">
      <c r="A54" s="1"/>
      <c r="B54" s="1"/>
      <c r="C54" s="1"/>
      <c r="D54" s="1"/>
      <c r="E54" s="1"/>
      <c r="F54" s="1"/>
    </row>
  </sheetData>
  <mergeCells count="3">
    <mergeCell ref="A1:F1"/>
    <mergeCell ref="A2:F2"/>
    <mergeCell ref="A15:C15"/>
  </mergeCells>
  <hyperlinks>
    <hyperlink ref="G1" location="หน้าหลัก!A1" display="หน้าหลัก"/>
  </hyperlinks>
  <pageMargins left="3.937007874015748E-2" right="3.937007874015748E-2" top="0.74803149606299213" bottom="0.74803149606299213" header="0.31496062992125984" footer="0.31496062992125984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27</vt:i4>
      </vt:variant>
    </vt:vector>
  </HeadingPairs>
  <TitlesOfParts>
    <vt:vector size="27" baseType="lpstr">
      <vt:lpstr>หน้าหลัก</vt:lpstr>
      <vt:lpstr>1.โครงการพัฒนาศักยภาพ บริหาร</vt:lpstr>
      <vt:lpstr>กิจกรรมที่ 1.1</vt:lpstr>
      <vt:lpstr>กิจกรรมที่ 1.2</vt:lpstr>
      <vt:lpstr>2.โครงพัฒนาทักษะ กศ.ปช</vt:lpstr>
      <vt:lpstr>3.โครงการบริหารธุรกิจมหาบัณฑิต</vt:lpstr>
      <vt:lpstr>กิจกรรมที่ 3.1</vt:lpstr>
      <vt:lpstr>กิจกรรมที่ 3.2</vt:lpstr>
      <vt:lpstr>4.โครงการ รปศ ป.โท</vt:lpstr>
      <vt:lpstr>กิจกรรมที่. 4.1</vt:lpstr>
      <vt:lpstr>กิจกรรมที่.4.2</vt:lpstr>
      <vt:lpstr>5.โครงการ รัฐศาสตร์ ป.โท </vt:lpstr>
      <vt:lpstr>กิจกรรมที่ 5.1</vt:lpstr>
      <vt:lpstr>กิจกรรมที่ 5.2</vt:lpstr>
      <vt:lpstr>6.จัดการเรียนการสอนบัณฑิต</vt:lpstr>
      <vt:lpstr>กิจกรรมที่ 6.1.</vt:lpstr>
      <vt:lpstr>กิจกรรมที่ 6.2.</vt:lpstr>
      <vt:lpstr>กิจกรรมที่ 6.3.</vt:lpstr>
      <vt:lpstr>กิจกรรมที่ 6.4.</vt:lpstr>
      <vt:lpstr>กิจกรรมที่ 6.5.</vt:lpstr>
      <vt:lpstr>7.โครงการนิเทศ</vt:lpstr>
      <vt:lpstr>กิจกรรมที่ 7.1</vt:lpstr>
      <vt:lpstr>กิจกรรมที่ 7.2</vt:lpstr>
      <vt:lpstr>8.โครงการรับประเมิน</vt:lpstr>
      <vt:lpstr>กิจกรรมที่ 8.1</vt:lpstr>
      <vt:lpstr>กิจกรรมที่ 8.2</vt:lpstr>
      <vt:lpstr>9.โครงการสู่ความเป็นเลิศ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acer_nb</dc:creator>
  <cp:lastModifiedBy>User</cp:lastModifiedBy>
  <cp:lastPrinted>2026-09-14T09:35:46Z</cp:lastPrinted>
  <dcterms:created xsi:type="dcterms:W3CDTF">2017-04-29T12:10:56Z</dcterms:created>
  <dcterms:modified xsi:type="dcterms:W3CDTF">2026-09-15T08:49:01Z</dcterms:modified>
</cp:coreProperties>
</file>